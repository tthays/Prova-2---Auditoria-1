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T320" sheetId="1" state="visible" r:id="rId3"/>
    <sheet name="PT520" sheetId="2" state="visible" r:id="rId4"/>
    <sheet name="PT530" sheetId="3" state="visible" r:id="rId5"/>
    <sheet name="PT500" sheetId="4" state="visible" r:id="rId6"/>
    <sheet name="PT450" sheetId="5" state="visible" r:id="rId7"/>
    <sheet name="PT540" sheetId="6" state="visible" r:id="rId8"/>
    <sheet name="PT570" sheetId="7" state="visible" r:id="rId9"/>
    <sheet name="PT505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<sst xmlns="http://schemas.openxmlformats.org/spreadsheetml/2006/main" count="342" uniqueCount="274">
  <si>
    <t xml:space="preserve">PT 320 - Materialidade (R$ mil; DFP 2025 consolidada)</t>
  </si>
  <si>
    <t xml:space="preserve">Preparador: matricula 180109791 | Data: 25/10/2026 | Revisao: ____ (campo em branco, sem revisao de terceiros) | Azul = entrada/dado; preto = formula</t>
  </si>
  <si>
    <t xml:space="preserve">Base de referencia</t>
  </si>
  <si>
    <t xml:space="preserve">Valor 2025</t>
  </si>
  <si>
    <t xml:space="preserve">Percentual</t>
  </si>
  <si>
    <t xml:space="preserve">Fonte / justificativa</t>
  </si>
  <si>
    <t xml:space="preserve">Resultado (R$ mil)</t>
  </si>
  <si>
    <t xml:space="preserve">Lucro antes dos tributos (LAIR)</t>
  </si>
  <si>
    <t xml:space="preserve">DFP p.23 - base escolhida: resultado recorrente e positivo; usuarios (acionistas Novo Mercado) focam lucro</t>
  </si>
  <si>
    <t xml:space="preserve">Receita liquida</t>
  </si>
  <si>
    <t xml:space="preserve">DFP p.23 - alternativa</t>
  </si>
  <si>
    <t xml:space="preserve">Ativo total</t>
  </si>
  <si>
    <t xml:space="preserve">DFP p.20 - alternativa (empresa intensiva em ativos)</t>
  </si>
  <si>
    <t xml:space="preserve">Patrimonio liquido</t>
  </si>
  <si>
    <t xml:space="preserve">DFP p.22 - alternativa</t>
  </si>
  <si>
    <t xml:space="preserve">Faixa das alternativas (minimo / maximo)</t>
  </si>
  <si>
    <t xml:space="preserve">MATERIALIDADE GLOBAL (5% do LAIR, arredondada)</t>
  </si>
  <si>
    <t xml:space="preserve">Dentro da faixa das alternativas (B10:C10) - teste de razoabilidade:</t>
  </si>
  <si>
    <t xml:space="preserve">Percentual da materialidade para execucao (PM)</t>
  </si>
  <si>
    <t xml:space="preserve">65% (faixa usual 50-75%): auditoria inicial (PT 510), estimativa-chave de POC (PAA do relatorio, p.70) e partes relacionadas com risco elevado</t>
  </si>
  <si>
    <t xml:space="preserve">MATERIALIDADE PARA EXECUCAO (PM)</t>
  </si>
  <si>
    <t xml:space="preserve">Percentual do limite de distorcoes claramente triviais</t>
  </si>
  <si>
    <t xml:space="preserve">LIMITE DE DISTORCOES TRIVIAIS</t>
  </si>
  <si>
    <t xml:space="preserve">Materialidades especificas (NBC TA 320 item 10)</t>
  </si>
  <si>
    <t xml:space="preserve">Partes relacionadas e remuneracao da administracao - % da global</t>
  </si>
  <si>
    <t xml:space="preserve">Materialidade especifica - partes relacionadas / honorarios</t>
  </si>
  <si>
    <t xml:space="preserve">Usuarios sao sensiveis a transacoes com partes relacionadas (nota 15, p.59) e a honorarios (nota 21, p.63)</t>
  </si>
  <si>
    <t xml:space="preserve">Revisao: reavaliar B12 se o LAIR final divergir do usado em mais de 10% (NBC TA 320 itens 12-13). Nenhuma revisao ocorreu (didatico).</t>
  </si>
  <si>
    <t xml:space="preserve">PT 520 - Procedimentos analiticos (R$ mil)</t>
  </si>
  <si>
    <t xml:space="preserve">Limite de investigacao = 25% da PM (precisao da expectativa)</t>
  </si>
  <si>
    <t xml:space="preserve">Diferencas acima do limite exigem investigacao</t>
  </si>
  <si>
    <t xml:space="preserve">A. Encargos financeiros capitalizados em estoques (nota 7, p.51)</t>
  </si>
  <si>
    <t xml:space="preserve">2025</t>
  </si>
  <si>
    <t xml:space="preserve">2024</t>
  </si>
  <si>
    <t xml:space="preserve">Fonte</t>
  </si>
  <si>
    <t xml:space="preserve">Saldo inicial</t>
  </si>
  <si>
    <t xml:space="preserve">DFP p.51, movimentacao dos encargos</t>
  </si>
  <si>
    <t xml:space="preserve">(+) Encargos capitalizados no exercicio</t>
  </si>
  <si>
    <t xml:space="preserve">(-) Baixa de encargos no exercicio</t>
  </si>
  <si>
    <t xml:space="preserve">Saldo final recalculado</t>
  </si>
  <si>
    <t xml:space="preserve">Saldo final divulgado</t>
  </si>
  <si>
    <t xml:space="preserve">Diferenca (recalculado - divulgado)</t>
  </si>
  <si>
    <t xml:space="preserve">B. Expectativa da baixa de encargos (proporcional ao saldo inicial)</t>
  </si>
  <si>
    <t xml:space="preserve">Razao baixa/saldo inicial em 2024</t>
  </si>
  <si>
    <t xml:space="preserve">Baixa esperada 2025 = saldo inicial 2025 x razao 2024</t>
  </si>
  <si>
    <t xml:space="preserve">Baixa registrada 2025</t>
  </si>
  <si>
    <t xml:space="preserve">Diferenca</t>
  </si>
  <si>
    <t xml:space="preserve">Conclusao</t>
  </si>
  <si>
    <t xml:space="preserve">C. Taxa de capitalizacao de juros (notas 11 e 12, pp.55-56)</t>
  </si>
  <si>
    <t xml:space="preserve">Juros incorridos - emprestimos e financiamentos</t>
  </si>
  <si>
    <t xml:space="preserve">Juros incorridos - debentures e CRI</t>
  </si>
  <si>
    <t xml:space="preserve">Total de juros incorridos</t>
  </si>
  <si>
    <t xml:space="preserve">Encargos capitalizados no exercicio</t>
  </si>
  <si>
    <t xml:space="preserve">Razao capitalizado / incorrido</t>
  </si>
  <si>
    <t xml:space="preserve">Capitalizacao esperada 2025 = juros 2025 x razao 2024</t>
  </si>
  <si>
    <t xml:space="preserve">Diferenca (registrado - esperado)</t>
  </si>
  <si>
    <t xml:space="preserve">Investigacao exige dados internos (ativos qualificaveis por empreendimento): PLANEJADO</t>
  </si>
  <si>
    <t xml:space="preserve">D. Indicadores (consolidado)</t>
  </si>
  <si>
    <t xml:space="preserve">2023</t>
  </si>
  <si>
    <t xml:space="preserve">Observacao</t>
  </si>
  <si>
    <t xml:space="preserve">Margem bruta</t>
  </si>
  <si>
    <t xml:space="preserve">Margem +7,6 p.p. em 2025: INVESTIGAR (dados de empreendimento nao publicos)</t>
  </si>
  <si>
    <t xml:space="preserve">Estoques totais (circ.+nao circ.)</t>
  </si>
  <si>
    <t xml:space="preserve">Custo dos imoveis vendidos</t>
  </si>
  <si>
    <t xml:space="preserve">Giro dos estoques em dias (estoque/CPV x 365)</t>
  </si>
  <si>
    <t xml:space="preserve">Contas a receber totais</t>
  </si>
  <si>
    <t xml:space="preserve">Prazo medio de recebimento em dias (CR/receita x 365)</t>
  </si>
  <si>
    <t xml:space="preserve">E. Variacao de linhas selecionadas 2025 x 2024</t>
  </si>
  <si>
    <t xml:space="preserve">Var. %</t>
  </si>
  <si>
    <t xml:space="preserve">Investigar?</t>
  </si>
  <si>
    <t xml:space="preserve">Outras receitas operacionais (DRE, p.23)</t>
  </si>
  <si>
    <t xml:space="preserve">Despesas financeiras (DRE, p.23)</t>
  </si>
  <si>
    <t xml:space="preserve">Receitas financeiras (DRE, p.23)</t>
  </si>
  <si>
    <t xml:space="preserve">Contas a receber vencidas &gt; 120 dias (nota 6, p.50)</t>
  </si>
  <si>
    <t xml:space="preserve">Provisao distratos e creditos (nota 6, p.50)</t>
  </si>
  <si>
    <t xml:space="preserve">PT 530 - Amostragem MUS sobre a base SINTETICA (R$)</t>
  </si>
  <si>
    <t xml:space="preserve">Parametro</t>
  </si>
  <si>
    <t xml:space="preserve">Valor</t>
  </si>
  <si>
    <t xml:space="preserve">Evidencia documental SIMULADA: valor_documento_simulado vem do registro de erros inseridos (oraculo), nao de documento real.</t>
  </si>
  <si>
    <t xml:space="preserve">Distorcao toleravel (= PM x 1.000, R$)</t>
  </si>
  <si>
    <t xml:space="preserve">Fator de confianca (risco de aceitacao incorreta 5%, 0 erros)</t>
  </si>
  <si>
    <t xml:space="preserve">Intervalo de amostragem (R$)</t>
  </si>
  <si>
    <t xml:space="preserve">Populacao: soma dos lancamentos positivos (R$)</t>
  </si>
  <si>
    <t xml:space="preserve">Tamanho estimado da amostra</t>
  </si>
  <si>
    <t xml:space="preserve">Inicio aleatorio (semente 180109792)</t>
  </si>
  <si>
    <t xml:space="preserve">Itens-chave (valor &gt;= intervalo)</t>
  </si>
  <si>
    <t xml:space="preserve">Itens selecionados (script)</t>
  </si>
  <si>
    <t xml:space="preserve">Avaliacao (Stringer, Poisson 5%)</t>
  </si>
  <si>
    <t xml:space="preserve">taint</t>
  </si>
  <si>
    <t xml:space="preserve">Incremento</t>
  </si>
  <si>
    <t xml:space="preserve">Contribuicao (R$)</t>
  </si>
  <si>
    <t xml:space="preserve">Precisao basica = fator x intervalo</t>
  </si>
  <si>
    <t xml:space="preserve">Excecao residual 1 (id 416030)</t>
  </si>
  <si>
    <t xml:space="preserve">Excecao residual 2 (id 342042)</t>
  </si>
  <si>
    <t xml:space="preserve">Excecao residual 3 (id 445241)</t>
  </si>
  <si>
    <t xml:space="preserve">Excecao residual 4 (id 452088)</t>
  </si>
  <si>
    <t xml:space="preserve">Excecao residual 5 (id 446629)</t>
  </si>
  <si>
    <t xml:space="preserve">Excecao residual 6 (id 432949)</t>
  </si>
  <si>
    <t xml:space="preserve">LIMITE SUPERIOR DA DISTORCAO (Stringer)</t>
  </si>
  <si>
    <t xml:space="preserve">Projecao da distorcao (soma taint x intervalo)</t>
  </si>
  <si>
    <t xml:space="preserve">Limite superior x distorcao toleravel</t>
  </si>
  <si>
    <t xml:space="preserve">Limite superior x materialidade global</t>
  </si>
  <si>
    <t xml:space="preserve">id_lancamento</t>
  </si>
  <si>
    <t xml:space="preserve">valor_rs</t>
  </si>
  <si>
    <t xml:space="preserve">valor_documento_simulado</t>
  </si>
  <si>
    <t xml:space="preserve">distorcao_rs</t>
  </si>
  <si>
    <t xml:space="preserve">tipo_excecao</t>
  </si>
  <si>
    <t xml:space="preserve">ja_identificada_100pct</t>
  </si>
  <si>
    <t xml:space="preserve">CUSTO_NAO_CAPITALIZAVEL</t>
  </si>
  <si>
    <t xml:space="preserve">CORTE</t>
  </si>
  <si>
    <t xml:space="preserve">VALOR_DIVERGENTE</t>
  </si>
  <si>
    <t xml:space="preserve">PT 500 - Conciliacao da base sintetica com a DFP e verificacoes internas da DFP</t>
  </si>
  <si>
    <t xml:space="preserve">Categoria (nota 7, p.51)</t>
  </si>
  <si>
    <t xml:space="preserve">Saldo contabil (R$)</t>
  </si>
  <si>
    <t xml:space="preserve">Base sintetica (R$)</t>
  </si>
  <si>
    <t xml:space="preserve">Diferenca (R$)</t>
  </si>
  <si>
    <t xml:space="preserve">Explicada pelo registro (R$)</t>
  </si>
  <si>
    <t xml:space="preserve">Nao explicada (R$)</t>
  </si>
  <si>
    <t xml:space="preserve">ADIANTAMENTO_FORNECEDORES</t>
  </si>
  <si>
    <t xml:space="preserve">ENCARGOS_FINANCEIROS</t>
  </si>
  <si>
    <t xml:space="preserve">IMOVEIS_CONCLUIDOS</t>
  </si>
  <si>
    <t xml:space="preserve">IMOVEIS_EM_CONSTRUCAO</t>
  </si>
  <si>
    <t xml:space="preserve">TERRENOS_NOVAS_OBRAS</t>
  </si>
  <si>
    <t xml:space="preserve">TOTAL</t>
  </si>
  <si>
    <t xml:space="preserve">Verificacoes internas da DFP (real)</t>
  </si>
  <si>
    <t xml:space="preserve">Valor A</t>
  </si>
  <si>
    <t xml:space="preserve">Valor B</t>
  </si>
  <si>
    <t xml:space="preserve">Resultado</t>
  </si>
  <si>
    <t xml:space="preserve">Ativo total = Passivo + PL (consolidado)</t>
  </si>
  <si>
    <t xml:space="preserve">p.20-22</t>
  </si>
  <si>
    <t xml:space="preserve">Ativo circulante + nao circulante = ativo total</t>
  </si>
  <si>
    <t xml:space="preserve">p.20</t>
  </si>
  <si>
    <t xml:space="preserve">Nota 7 (soma) = estoques circ. + nao circ.</t>
  </si>
  <si>
    <t xml:space="preserve">p.51 e p.20</t>
  </si>
  <si>
    <t xml:space="preserve">Nota 6 (contas a receber) = circ. + nao circ. no balanco</t>
  </si>
  <si>
    <t xml:space="preserve">p.50 e p.20</t>
  </si>
  <si>
    <t xml:space="preserve">Nota 12 debentures/CRI = circ. + nao circ.</t>
  </si>
  <si>
    <t xml:space="preserve">p.55 e p.21</t>
  </si>
  <si>
    <t xml:space="preserve">Nota 11 emprestimos = circ. + nao circ.</t>
  </si>
  <si>
    <t xml:space="preserve">PL: capital + reservas de capital + reservas de lucro + nao controladores</t>
  </si>
  <si>
    <t xml:space="preserve">p.22</t>
  </si>
  <si>
    <t xml:space="preserve">Caixa e equivalentes: balanco x DFC</t>
  </si>
  <si>
    <t xml:space="preserve">p.20 e p.27 (diferenca de arredondamento)</t>
  </si>
  <si>
    <t xml:space="preserve">Nota 7: encargos - roll forward</t>
  </si>
  <si>
    <t xml:space="preserve">p.51</t>
  </si>
  <si>
    <t xml:space="preserve">Nota 11: emprestimos - movimentacao (836.309+429.214-670.620-67.380+81.254)</t>
  </si>
  <si>
    <t xml:space="preserve">p.55</t>
  </si>
  <si>
    <t xml:space="preserve">Nota 12: debentures/CRI - movimentacao (300.073+757.911-59.306+96.628+1.902)</t>
  </si>
  <si>
    <t xml:space="preserve">DFC captacoes (6.03.01) x notas 11+12 (429.214+757.911)</t>
  </si>
  <si>
    <t xml:space="preserve">p.27, p.55 (dif. R$ 11 mil &lt; trivial)</t>
  </si>
  <si>
    <t xml:space="preserve">Imobilizado+intangivel: saldo inicial + adicoes - deprec./amort. = saldo final</t>
  </si>
  <si>
    <t xml:space="preserve">p.20, p.26 (supoe ausencia de baixas)</t>
  </si>
  <si>
    <t xml:space="preserve">Nota 5: aplicacoes (CDB + fundos + LFs) = balanco</t>
  </si>
  <si>
    <t xml:space="preserve">p.49 e p.20</t>
  </si>
  <si>
    <t xml:space="preserve">Nota 21: remuneracao fixa + variavel = DRE (honorarios)</t>
  </si>
  <si>
    <t xml:space="preserve">p.63 e p.23</t>
  </si>
  <si>
    <t xml:space="preserve">Nota 14: tributos diferidos = circ. + nao circ.</t>
  </si>
  <si>
    <t xml:space="preserve">p.58</t>
  </si>
  <si>
    <t xml:space="preserve">PT 450 - Mapa de distorcoes (SINTETICAS, inseridas) - avaliacao quantitativa (R$)</t>
  </si>
  <si>
    <t xml:space="preserve">Tipo de erro inserido</t>
  </si>
  <si>
    <t xml:space="preserve">Qtde</t>
  </si>
  <si>
    <t xml:space="preserve">Efeito na base (R$)</t>
  </si>
  <si>
    <t xml:space="preserve">Distorcao potencial (R$)</t>
  </si>
  <si>
    <t xml:space="preserve">Status (didatico)</t>
  </si>
  <si>
    <t xml:space="preserve">E01_DUPLICIDADE</t>
  </si>
  <si>
    <t xml:space="preserve">Nao corrigida (proposta de ajuste); detalhe em registro_erros_inseridos.csv</t>
  </si>
  <si>
    <t xml:space="preserve">E02_CORTE</t>
  </si>
  <si>
    <t xml:space="preserve">E03_MANUAL_FDS_REDONDO</t>
  </si>
  <si>
    <t xml:space="preserve">E04_CLASSIFICACAO</t>
  </si>
  <si>
    <t xml:space="preserve">E05_CUSTO_NAO_CAPITALIZAVEL</t>
  </si>
  <si>
    <t xml:space="preserve">E06_ENCARGO_TAXA</t>
  </si>
  <si>
    <t xml:space="preserve">E07_UNIDADE_VENDIDA</t>
  </si>
  <si>
    <t xml:space="preserve">E08_FORNECEDOR_INEXISTENTE</t>
  </si>
  <si>
    <t xml:space="preserve">E09_ESTORNO_SEM_REFERENCIA</t>
  </si>
  <si>
    <t xml:space="preserve">E10_VALOR_DIVERGENTE</t>
  </si>
  <si>
    <t xml:space="preserve">Distorcao potencial agregada (R$ mil)</t>
  </si>
  <si>
    <t xml:space="preserve">Materialidade global (R$ mil)</t>
  </si>
  <si>
    <t xml:space="preserve">Materialidade para execucao (R$ mil)</t>
  </si>
  <si>
    <t xml:space="preserve">Limite de distorcoes triviais (R$ mil)</t>
  </si>
  <si>
    <t xml:space="preserve">Agregado / global</t>
  </si>
  <si>
    <t xml:space="preserve">Conclusao quantitativa</t>
  </si>
  <si>
    <t xml:space="preserve">ATENCAO: distorcoes inseridas em dados sinteticos. Nao representam distorcoes da EZTEC.</t>
  </si>
  <si>
    <t xml:space="preserve">PT 540 - Sensibilidade da estimativa de custo orcado (POC) - nota 10, p.54 (R$ mil)</t>
  </si>
  <si>
    <t xml:space="preserve">Receita de vendas contratadas (empreend. em construcao)</t>
  </si>
  <si>
    <t xml:space="preserve">Custo orcado das unidades vendidas</t>
  </si>
  <si>
    <t xml:space="preserve">Custo de construcao incorrido (sem encargos)</t>
  </si>
  <si>
    <t xml:space="preserve">POC (driver) = incorrido / orcado</t>
  </si>
  <si>
    <t xml:space="preserve">Divulgado: 47,89%</t>
  </si>
  <si>
    <t xml:space="preserve">Receita apropriada (aproximacao = contratada x POC)</t>
  </si>
  <si>
    <t xml:space="preserve">Divulgada (nota 10): 1.401.728</t>
  </si>
  <si>
    <t xml:space="preserve">Cenario: variacao do custo orcado</t>
  </si>
  <si>
    <t xml:space="preserve">-10%</t>
  </si>
  <si>
    <t xml:space="preserve">-5%</t>
  </si>
  <si>
    <t xml:space="preserve">0%</t>
  </si>
  <si>
    <t xml:space="preserve">+5%</t>
  </si>
  <si>
    <t xml:space="preserve">+10%</t>
  </si>
  <si>
    <t xml:space="preserve">Variacao do orcado</t>
  </si>
  <si>
    <t xml:space="preserve">Custo orcado ajustado</t>
  </si>
  <si>
    <t xml:space="preserve">POC ajustado</t>
  </si>
  <si>
    <t xml:space="preserve">Receita apropriada ajustada</t>
  </si>
  <si>
    <t xml:space="preserve">Efeito na receita/resultado bruto</t>
  </si>
  <si>
    <t xml:space="preserve">vs. PM</t>
  </si>
  <si>
    <t xml:space="preserve">Variacao do orcado que consome a PM (break-even)</t>
  </si>
  <si>
    <t xml:space="preserve">Limitacao: aproximacao agregada; o POC real e calculado por unidade/empreendimento (nota 2.16, p.46). Orcado por empreendimento nao e publico: PLANEJADO.</t>
  </si>
  <si>
    <t xml:space="preserve">PT 570 - Continuidade operacional: liquidez e endividamento (R$ mil; consolidado)</t>
  </si>
  <si>
    <t xml:space="preserve">Item</t>
  </si>
  <si>
    <t xml:space="preserve">Ativo circulante</t>
  </si>
  <si>
    <t xml:space="preserve">DFP p.20</t>
  </si>
  <si>
    <t xml:space="preserve">Passivo circulante</t>
  </si>
  <si>
    <t xml:space="preserve">DFP p.21</t>
  </si>
  <si>
    <t xml:space="preserve">Caixa e equivalentes</t>
  </si>
  <si>
    <t xml:space="preserve">Aplicacoes financeiras</t>
  </si>
  <si>
    <t xml:space="preserve">Emprestimos, financiamentos e debentures - circulante</t>
  </si>
  <si>
    <t xml:space="preserve">Emprestimos, financiamentos e debentures - nao circulante</t>
  </si>
  <si>
    <t xml:space="preserve">DFP p.22</t>
  </si>
  <si>
    <t xml:space="preserve">Caixa liquido das atividades operacionais</t>
  </si>
  <si>
    <t xml:space="preserve">DFP p.26</t>
  </si>
  <si>
    <t xml:space="preserve">Liquidez corrente</t>
  </si>
  <si>
    <t xml:space="preserve">Disponibilidades (caixa + aplicacoes)</t>
  </si>
  <si>
    <t xml:space="preserve">Liquidez imediata (disponibilidades / passivo circulante)</t>
  </si>
  <si>
    <t xml:space="preserve">Divida bruta</t>
  </si>
  <si>
    <t xml:space="preserve">Divida liquida (bruta - disponibilidades)</t>
  </si>
  <si>
    <t xml:space="preserve">Divida bruta / PL</t>
  </si>
  <si>
    <t xml:space="preserve">Divida liquida / PL</t>
  </si>
  <si>
    <t xml:space="preserve">Disponibilidades / divida circulante (cobertura do curto prazo)</t>
  </si>
  <si>
    <t xml:space="preserve">Covenant (nota 12, p.56): (Divida liquida + imoveis a pagar) / PL &lt; 0,80</t>
  </si>
  <si>
    <t xml:space="preserve">Debentures e CRI (liquido de custos)</t>
  </si>
  <si>
    <t xml:space="preserve">(-) Disponibilidades 2025</t>
  </si>
  <si>
    <t xml:space="preserve">(+) Imoveis a pagar (terrenos a pagar circ. 36.421 + nao circ. 28.027)</t>
  </si>
  <si>
    <t xml:space="preserve">Numerador recomputado (HIPOTESE: exclui financiamentos a producao)</t>
  </si>
  <si>
    <t xml:space="preserve">Indice recomputado</t>
  </si>
  <si>
    <t xml:space="preserve">Divulgado: (0,08). Conferencia aproximada; definicao contratual nao acessada</t>
  </si>
  <si>
    <t xml:space="preserve">Segundo indice (&gt;1,50): divulgado 13,83 - nao reproduzivel com dados publicos: PLANEJADO (escritura de emissao)</t>
  </si>
  <si>
    <t xml:space="preserve">Fluxo: FCO positivo em 2025 apos dois exercicios negativos; captacoes liquidas financiaram investimentos (DFC p.26-27).</t>
  </si>
  <si>
    <t xml:space="preserve">PT 505 - Controle de circularizacao (DIDATICO: NENHUMA solicitacao enviada)</t>
  </si>
  <si>
    <t xml:space="preserve">Tipo</t>
  </si>
  <si>
    <t xml:space="preserve">Saldo a confirmar (DFP)</t>
  </si>
  <si>
    <t xml:space="preserve">Valor (R$ mil)</t>
  </si>
  <si>
    <t xml:space="preserve">Modelo</t>
  </si>
  <si>
    <t xml:space="preserve">Status</t>
  </si>
  <si>
    <t xml:space="preserve">Data envio</t>
  </si>
  <si>
    <t xml:space="preserve">Tratamento de diferencas / procedimento alternativo</t>
  </si>
  <si>
    <t xml:space="preserve">Bancos - aplicacoes financeiras</t>
  </si>
  <si>
    <t xml:space="preserve">Nota 5 (p.49)</t>
  </si>
  <si>
    <t xml:space="preserve">Modelo A</t>
  </si>
  <si>
    <t xml:space="preserve">NAO ENVIADO (didatico)</t>
  </si>
  <si>
    <t xml:space="preserve">-</t>
  </si>
  <si>
    <t xml:space="preserve">Aplicacoes e saldos em conta; garantias/gravames</t>
  </si>
  <si>
    <t xml:space="preserve">Bancos - caixa e equivalentes</t>
  </si>
  <si>
    <t xml:space="preserve">Nota 4 (p.49)</t>
  </si>
  <si>
    <t xml:space="preserve">Extratos e conciliacoes bancarias</t>
  </si>
  <si>
    <t xml:space="preserve">Credores - emprestimos e financiamentos</t>
  </si>
  <si>
    <t xml:space="preserve">Nota 11 (p.55)</t>
  </si>
  <si>
    <t xml:space="preserve">Contratos, extratos de credor, recalculo de juros</t>
  </si>
  <si>
    <t xml:space="preserve">Debentures/CRI - agente fiduciario</t>
  </si>
  <si>
    <t xml:space="preserve">Nota 12 (p.55)</t>
  </si>
  <si>
    <t xml:space="preserve">Extrato do agente fiduciario e escrituras</t>
  </si>
  <si>
    <t xml:space="preserve">Clientes - contas a receber</t>
  </si>
  <si>
    <t xml:space="preserve">Nota 6 (p.50)</t>
  </si>
  <si>
    <t xml:space="preserve">Modelo B</t>
  </si>
  <si>
    <t xml:space="preserve">Positiva por amostra MUS; alternativos: contratos, recebimentos posteriores</t>
  </si>
  <si>
    <t xml:space="preserve">Advogados - litigios</t>
  </si>
  <si>
    <t xml:space="preserve">Nota 16 (p.60)</t>
  </si>
  <si>
    <t xml:space="preserve">Modelo C</t>
  </si>
  <si>
    <t xml:space="preserve">Carta de advogados: provaveis (6.469) e possiveis (46.822)</t>
  </si>
  <si>
    <t xml:space="preserve">Partes relacionadas - saldos</t>
  </si>
  <si>
    <t xml:space="preserve">Nota 15 (p.59)</t>
  </si>
  <si>
    <t xml:space="preserve">Modelo D</t>
  </si>
  <si>
    <t xml:space="preserve">Confirmacao com contraparte e contratos</t>
  </si>
  <si>
    <t xml:space="preserve">Terrenos a pagar</t>
  </si>
  <si>
    <t xml:space="preserve">BP (p.21-22)</t>
  </si>
  <si>
    <t xml:space="preserve">Contratos de compra e recibos</t>
  </si>
  <si>
    <t xml:space="preserve">Total do escopo planejado (R$ mil)</t>
  </si>
  <si>
    <t xml:space="preserve">Obs.: total mistura saldos de ativo e passivo e exposicoes; nao representa cobertura percentual de uma demonstracao.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</si>
</sst>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0.0%"/>
    <numFmt numFmtId="167" formatCode="#,##0"/>
    <numFmt numFmtId="168" formatCode="#,##0.00;\(#,##0.00\);\-"/>
    <numFmt numFmtId="169" formatCode="0.00"/>
    <numFmt numFmtId="170" formatCode="0"/>
    <numFmt numFmtId="171" formatCode="0.0000"/>
    <numFmt numFmtId="172" formatCode="General"/>
    <numFmt numFmtId="173" formatCode="0.00%"/>
    <numFmt numFmtId="174" formatCode="0%"/>
    <numFmt numFmtId="175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6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601586</v>
      </c>
      <c r="C5" s="6" t="n">
        <v>0.05</v>
      </c>
      <c r="D5" s="4" t="s">
        <v>8</v>
      </c>
      <c r="E5" s="7" t="n">
        <f aca="false">B5*C5</f>
        <v>30079.3</v>
      </c>
    </row>
    <row r="6" customFormat="false" ht="15" hidden="false" customHeight="false" outlineLevel="0" collapsed="false">
      <c r="A6" s="4" t="s">
        <v>9</v>
      </c>
      <c r="B6" s="5" t="n">
        <v>1498822</v>
      </c>
      <c r="C6" s="6" t="n">
        <v>0.01</v>
      </c>
      <c r="D6" s="4" t="s">
        <v>10</v>
      </c>
      <c r="E6" s="7" t="n">
        <f aca="false">B6*C6</f>
        <v>14988.22</v>
      </c>
    </row>
    <row r="7" customFormat="false" ht="15" hidden="false" customHeight="false" outlineLevel="0" collapsed="false">
      <c r="A7" s="4" t="s">
        <v>11</v>
      </c>
      <c r="B7" s="5" t="n">
        <v>7196637</v>
      </c>
      <c r="C7" s="6" t="n">
        <v>0.005</v>
      </c>
      <c r="D7" s="4" t="s">
        <v>12</v>
      </c>
      <c r="E7" s="7" t="n">
        <f aca="false">B7*C7</f>
        <v>35983.185</v>
      </c>
    </row>
    <row r="8" customFormat="false" ht="15" hidden="false" customHeight="false" outlineLevel="0" collapsed="false">
      <c r="A8" s="4" t="s">
        <v>13</v>
      </c>
      <c r="B8" s="5" t="n">
        <v>5119897</v>
      </c>
      <c r="C8" s="6" t="n">
        <v>0.01</v>
      </c>
      <c r="D8" s="4" t="s">
        <v>14</v>
      </c>
      <c r="E8" s="7" t="n">
        <f aca="false">B8*C8</f>
        <v>51198.97</v>
      </c>
    </row>
    <row r="10" customFormat="false" ht="15" hidden="false" customHeight="false" outlineLevel="0" collapsed="false">
      <c r="A10" s="8" t="s">
        <v>15</v>
      </c>
      <c r="B10" s="7" t="n">
        <f aca="false">MIN(E5:E8)</f>
        <v>14988.22</v>
      </c>
      <c r="C10" s="7" t="n">
        <f aca="false">MAX(E5:E8)</f>
        <v>51198.97</v>
      </c>
    </row>
    <row r="12" customFormat="false" ht="15" hidden="false" customHeight="false" outlineLevel="0" collapsed="false">
      <c r="A12" s="8" t="s">
        <v>16</v>
      </c>
      <c r="B12" s="9" t="n">
        <f aca="false">ROUND(E5,0)</f>
        <v>30079</v>
      </c>
      <c r="D12" s="4" t="s">
        <v>17</v>
      </c>
      <c r="E12" s="4" t="str">
        <f aca="false">IF(AND(B12&gt;=B10,B12&lt;=C10),"RAZOAVEL","REVISAR")</f>
        <v>RAZOAVEL</v>
      </c>
    </row>
    <row r="13" customFormat="false" ht="15" hidden="false" customHeight="false" outlineLevel="0" collapsed="false">
      <c r="A13" s="4" t="s">
        <v>18</v>
      </c>
      <c r="B13" s="6" t="n">
        <v>0.65</v>
      </c>
      <c r="D13" s="4" t="s">
        <v>19</v>
      </c>
    </row>
    <row r="14" customFormat="false" ht="15" hidden="false" customHeight="false" outlineLevel="0" collapsed="false">
      <c r="A14" s="8" t="s">
        <v>20</v>
      </c>
      <c r="B14" s="9" t="n">
        <f aca="false">ROUND(B12*B13,0)</f>
        <v>19551</v>
      </c>
    </row>
    <row r="15" customFormat="false" ht="15" hidden="false" customHeight="false" outlineLevel="0" collapsed="false">
      <c r="A15" s="4" t="s">
        <v>21</v>
      </c>
      <c r="B15" s="6" t="n">
        <v>0.05</v>
      </c>
    </row>
    <row r="16" customFormat="false" ht="15" hidden="false" customHeight="false" outlineLevel="0" collapsed="false">
      <c r="A16" s="8" t="s">
        <v>22</v>
      </c>
      <c r="B16" s="9" t="n">
        <f aca="false">ROUND(B12*B15,0)</f>
        <v>1504</v>
      </c>
    </row>
    <row r="18" customFormat="false" ht="15" hidden="false" customHeight="false" outlineLevel="0" collapsed="false">
      <c r="A18" s="8" t="s">
        <v>23</v>
      </c>
    </row>
    <row r="19" customFormat="false" ht="15" hidden="false" customHeight="false" outlineLevel="0" collapsed="false">
      <c r="A19" s="4" t="s">
        <v>24</v>
      </c>
      <c r="B19" s="6" t="n">
        <v>0.1</v>
      </c>
    </row>
    <row r="20" customFormat="false" ht="15" hidden="false" customHeight="false" outlineLevel="0" collapsed="false">
      <c r="A20" s="4" t="s">
        <v>25</v>
      </c>
      <c r="B20" s="7" t="n">
        <f aca="false">ROUND(B12*B19,0)</f>
        <v>3008</v>
      </c>
      <c r="D20" s="4" t="s">
        <v>26</v>
      </c>
    </row>
    <row r="22" customFormat="false" ht="15" hidden="false" customHeight="false" outlineLevel="0" collapsed="false">
      <c r="A22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4" t="s">
        <v>29</v>
      </c>
      <c r="B4" s="7" t="n">
        <f aca="false">0.25*PT320!B14</f>
        <v>4887.75</v>
      </c>
      <c r="E4" s="4" t="s">
        <v>30</v>
      </c>
    </row>
    <row r="6" customFormat="false" ht="15" hidden="false" customHeight="false" outlineLevel="0" collapsed="false">
      <c r="A6" s="3" t="s">
        <v>31</v>
      </c>
      <c r="B6" s="3" t="s">
        <v>32</v>
      </c>
      <c r="C6" s="3" t="s">
        <v>33</v>
      </c>
      <c r="D6" s="3"/>
      <c r="E6" s="3" t="s">
        <v>34</v>
      </c>
    </row>
    <row r="7" customFormat="false" ht="15" hidden="false" customHeight="false" outlineLevel="0" collapsed="false">
      <c r="A7" s="4" t="s">
        <v>35</v>
      </c>
      <c r="B7" s="5" t="n">
        <v>111323</v>
      </c>
      <c r="C7" s="5" t="n">
        <v>80977</v>
      </c>
      <c r="E7" s="4" t="s">
        <v>36</v>
      </c>
    </row>
    <row r="8" customFormat="false" ht="15" hidden="false" customHeight="false" outlineLevel="0" collapsed="false">
      <c r="A8" s="4" t="s">
        <v>37</v>
      </c>
      <c r="B8" s="5" t="n">
        <v>124065</v>
      </c>
      <c r="C8" s="5" t="n">
        <v>60088</v>
      </c>
    </row>
    <row r="9" customFormat="false" ht="15" hidden="false" customHeight="false" outlineLevel="0" collapsed="false">
      <c r="A9" s="4" t="s">
        <v>38</v>
      </c>
      <c r="B9" s="5" t="n">
        <v>-37935</v>
      </c>
      <c r="C9" s="5" t="n">
        <v>-29742</v>
      </c>
    </row>
    <row r="10" customFormat="false" ht="15" hidden="false" customHeight="false" outlineLevel="0" collapsed="false">
      <c r="A10" s="4" t="s">
        <v>39</v>
      </c>
      <c r="B10" s="7" t="n">
        <f aca="false">SUM(B7:B9)</f>
        <v>197453</v>
      </c>
      <c r="C10" s="7" t="n">
        <f aca="false">SUM(C7:C9)</f>
        <v>111323</v>
      </c>
    </row>
    <row r="11" customFormat="false" ht="15" hidden="false" customHeight="false" outlineLevel="0" collapsed="false">
      <c r="A11" s="4" t="s">
        <v>40</v>
      </c>
      <c r="B11" s="5" t="n">
        <v>197453</v>
      </c>
      <c r="C11" s="5" t="n">
        <v>111323</v>
      </c>
    </row>
    <row r="12" customFormat="false" ht="15" hidden="false" customHeight="false" outlineLevel="0" collapsed="false">
      <c r="A12" s="4" t="s">
        <v>41</v>
      </c>
      <c r="B12" s="7" t="n">
        <f aca="false">B10-B11</f>
        <v>0</v>
      </c>
      <c r="C12" s="7" t="n">
        <f aca="false">C10-C11</f>
        <v>0</v>
      </c>
    </row>
    <row r="14" customFormat="false" ht="23.85" hidden="false" customHeight="false" outlineLevel="0" collapsed="false">
      <c r="A14" s="3" t="s">
        <v>42</v>
      </c>
      <c r="B14" s="3" t="s">
        <v>32</v>
      </c>
      <c r="C14" s="3" t="s">
        <v>33</v>
      </c>
      <c r="D14" s="3"/>
      <c r="E14" s="3"/>
    </row>
    <row r="15" customFormat="false" ht="15" hidden="false" customHeight="false" outlineLevel="0" collapsed="false">
      <c r="A15" s="4" t="s">
        <v>43</v>
      </c>
      <c r="C15" s="10" t="n">
        <f aca="false">-C9/C7</f>
        <v>0.367289477258975</v>
      </c>
    </row>
    <row r="16" customFormat="false" ht="15" hidden="false" customHeight="false" outlineLevel="0" collapsed="false">
      <c r="A16" s="4" t="s">
        <v>44</v>
      </c>
      <c r="B16" s="7" t="n">
        <f aca="false">B7*C15</f>
        <v>40887.7664769009</v>
      </c>
    </row>
    <row r="17" customFormat="false" ht="15" hidden="false" customHeight="false" outlineLevel="0" collapsed="false">
      <c r="A17" s="4" t="s">
        <v>45</v>
      </c>
      <c r="B17" s="7" t="n">
        <f aca="false">-B9</f>
        <v>37935</v>
      </c>
    </row>
    <row r="18" customFormat="false" ht="15" hidden="false" customHeight="false" outlineLevel="0" collapsed="false">
      <c r="A18" s="4" t="s">
        <v>46</v>
      </c>
      <c r="B18" s="7" t="n">
        <f aca="false">B17-B16</f>
        <v>-2952.76647690085</v>
      </c>
    </row>
    <row r="19" customFormat="false" ht="15" hidden="false" customHeight="false" outlineLevel="0" collapsed="false">
      <c r="A19" s="4" t="s">
        <v>47</v>
      </c>
      <c r="B19" s="4" t="str">
        <f aca="false">IF(ABS(B18)&gt;$B$4,"INVESTIGAR","DENTRO DO LIMITE")</f>
        <v>DENTRO DO LIMITE</v>
      </c>
    </row>
    <row r="21" customFormat="false" ht="15" hidden="false" customHeight="false" outlineLevel="0" collapsed="false">
      <c r="A21" s="3" t="s">
        <v>48</v>
      </c>
      <c r="B21" s="3" t="s">
        <v>32</v>
      </c>
      <c r="C21" s="3" t="s">
        <v>33</v>
      </c>
      <c r="D21" s="3"/>
      <c r="E21" s="3"/>
    </row>
    <row r="22" customFormat="false" ht="15" hidden="false" customHeight="false" outlineLevel="0" collapsed="false">
      <c r="A22" s="4" t="s">
        <v>49</v>
      </c>
      <c r="B22" s="5" t="n">
        <v>81254</v>
      </c>
      <c r="C22" s="5" t="n">
        <v>57435</v>
      </c>
    </row>
    <row r="23" customFormat="false" ht="15" hidden="false" customHeight="false" outlineLevel="0" collapsed="false">
      <c r="A23" s="4" t="s">
        <v>50</v>
      </c>
      <c r="B23" s="5" t="n">
        <v>96628</v>
      </c>
      <c r="C23" s="5" t="n">
        <v>35994</v>
      </c>
    </row>
    <row r="24" customFormat="false" ht="15" hidden="false" customHeight="false" outlineLevel="0" collapsed="false">
      <c r="A24" s="4" t="s">
        <v>51</v>
      </c>
      <c r="B24" s="7" t="n">
        <f aca="false">B22+B23</f>
        <v>177882</v>
      </c>
      <c r="C24" s="7" t="n">
        <f aca="false">C22+C23</f>
        <v>93429</v>
      </c>
    </row>
    <row r="25" customFormat="false" ht="15" hidden="false" customHeight="false" outlineLevel="0" collapsed="false">
      <c r="A25" s="4" t="s">
        <v>52</v>
      </c>
      <c r="B25" s="7" t="n">
        <f aca="false">B8</f>
        <v>124065</v>
      </c>
      <c r="C25" s="7" t="n">
        <f aca="false">C8</f>
        <v>60088</v>
      </c>
    </row>
    <row r="26" customFormat="false" ht="15" hidden="false" customHeight="false" outlineLevel="0" collapsed="false">
      <c r="A26" s="4" t="s">
        <v>53</v>
      </c>
      <c r="B26" s="10" t="n">
        <f aca="false">B25/B24</f>
        <v>0.697456740985597</v>
      </c>
      <c r="C26" s="10" t="n">
        <f aca="false">C25/C24</f>
        <v>0.643140780699783</v>
      </c>
    </row>
    <row r="27" customFormat="false" ht="15" hidden="false" customHeight="false" outlineLevel="0" collapsed="false">
      <c r="A27" s="4" t="s">
        <v>54</v>
      </c>
      <c r="B27" s="7" t="n">
        <f aca="false">B24*C26</f>
        <v>114403.168352439</v>
      </c>
    </row>
    <row r="28" customFormat="false" ht="15" hidden="false" customHeight="false" outlineLevel="0" collapsed="false">
      <c r="A28" s="4" t="s">
        <v>55</v>
      </c>
      <c r="B28" s="7" t="n">
        <f aca="false">B25-B27</f>
        <v>9661.83164756124</v>
      </c>
      <c r="E28" s="4" t="s">
        <v>56</v>
      </c>
    </row>
    <row r="29" customFormat="false" ht="15" hidden="false" customHeight="false" outlineLevel="0" collapsed="false">
      <c r="A29" s="4" t="s">
        <v>47</v>
      </c>
      <c r="B29" s="4" t="str">
        <f aca="false">IF(ABS(B28)&gt;$B$4,"INVESTIGAR","DENTRO DO LIMITE")</f>
        <v>INVESTIGAR</v>
      </c>
    </row>
    <row r="31" customFormat="false" ht="15" hidden="false" customHeight="false" outlineLevel="0" collapsed="false">
      <c r="A31" s="3" t="s">
        <v>57</v>
      </c>
      <c r="B31" s="3" t="s">
        <v>32</v>
      </c>
      <c r="C31" s="3" t="s">
        <v>33</v>
      </c>
      <c r="D31" s="3" t="s">
        <v>58</v>
      </c>
      <c r="E31" s="3" t="s">
        <v>59</v>
      </c>
    </row>
    <row r="32" customFormat="false" ht="15" hidden="false" customHeight="false" outlineLevel="0" collapsed="false">
      <c r="A32" s="4" t="s">
        <v>60</v>
      </c>
      <c r="B32" s="10" t="n">
        <f aca="false">625157/1498822</f>
        <v>0.417098894998872</v>
      </c>
      <c r="C32" s="10" t="n">
        <f aca="false">532812/1560541</f>
        <v>0.341427748453902</v>
      </c>
      <c r="D32" s="10" t="n">
        <f aca="false">343699/1083172</f>
        <v>0.317307869848925</v>
      </c>
      <c r="E32" s="4" t="s">
        <v>61</v>
      </c>
    </row>
    <row r="33" customFormat="false" ht="15" hidden="false" customHeight="false" outlineLevel="0" collapsed="false">
      <c r="A33" s="4" t="s">
        <v>62</v>
      </c>
      <c r="B33" s="5" t="n">
        <v>3125834</v>
      </c>
      <c r="C33" s="5" t="n">
        <v>3128884</v>
      </c>
      <c r="D33" s="5" t="n">
        <v>3090773</v>
      </c>
    </row>
    <row r="34" customFormat="false" ht="15" hidden="false" customHeight="false" outlineLevel="0" collapsed="false">
      <c r="A34" s="4" t="s">
        <v>63</v>
      </c>
      <c r="B34" s="5" t="n">
        <v>873665</v>
      </c>
      <c r="C34" s="5" t="n">
        <v>1027729</v>
      </c>
      <c r="D34" s="5" t="n">
        <v>739473</v>
      </c>
    </row>
    <row r="35" customFormat="false" ht="15" hidden="false" customHeight="false" outlineLevel="0" collapsed="false">
      <c r="A35" s="4" t="s">
        <v>64</v>
      </c>
      <c r="B35" s="11" t="n">
        <f aca="false">B33/B34*365</f>
        <v>1305.9117739637</v>
      </c>
      <c r="C35" s="11" t="n">
        <f aca="false">C33/C34*365</f>
        <v>1111.2293805079</v>
      </c>
      <c r="D35" s="11" t="n">
        <f aca="false">D33/D34*365</f>
        <v>1525.58936566988</v>
      </c>
    </row>
    <row r="36" customFormat="false" ht="15" hidden="false" customHeight="false" outlineLevel="0" collapsed="false">
      <c r="A36" s="4" t="s">
        <v>65</v>
      </c>
      <c r="B36" s="5" t="n">
        <v>1727447</v>
      </c>
      <c r="C36" s="5" t="n">
        <v>1753570</v>
      </c>
      <c r="D36" s="5" t="n">
        <v>1200036</v>
      </c>
    </row>
    <row r="37" customFormat="false" ht="15" hidden="false" customHeight="false" outlineLevel="0" collapsed="false">
      <c r="A37" s="4" t="s">
        <v>9</v>
      </c>
      <c r="B37" s="5" t="n">
        <v>1498822</v>
      </c>
      <c r="C37" s="5" t="n">
        <v>1560541</v>
      </c>
      <c r="D37" s="5" t="n">
        <v>1083172</v>
      </c>
    </row>
    <row r="38" customFormat="false" ht="15" hidden="false" customHeight="false" outlineLevel="0" collapsed="false">
      <c r="A38" s="4" t="s">
        <v>66</v>
      </c>
      <c r="B38" s="11" t="n">
        <f aca="false">B36/B37*365</f>
        <v>420.675807400745</v>
      </c>
      <c r="C38" s="11" t="n">
        <f aca="false">C36/C37*365</f>
        <v>410.148179381381</v>
      </c>
      <c r="D38" s="11" t="n">
        <f aca="false">D36/D37*365</f>
        <v>404.38004305872</v>
      </c>
    </row>
    <row r="40" customFormat="false" ht="15" hidden="false" customHeight="false" outlineLevel="0" collapsed="false">
      <c r="A40" s="3" t="s">
        <v>67</v>
      </c>
      <c r="B40" s="3" t="s">
        <v>32</v>
      </c>
      <c r="C40" s="3" t="s">
        <v>33</v>
      </c>
      <c r="D40" s="3" t="s">
        <v>68</v>
      </c>
      <c r="E40" s="3" t="s">
        <v>69</v>
      </c>
    </row>
    <row r="41" customFormat="false" ht="15" hidden="false" customHeight="false" outlineLevel="0" collapsed="false">
      <c r="A41" s="4" t="s">
        <v>70</v>
      </c>
      <c r="B41" s="5" t="n">
        <v>39857</v>
      </c>
      <c r="C41" s="5" t="n">
        <v>-4134</v>
      </c>
      <c r="D41" s="10" t="n">
        <f aca="false">IF(C41=0,0,(B41-C41)/ABS(C41))</f>
        <v>10.641267537494</v>
      </c>
      <c r="E41" s="4" t="str">
        <f aca="false">IF(ABS(B41-C41)&gt;$B$4,"INVESTIGAR","ok")&amp;" Notas 9(e),(f): ganhos AK14 R$16.641 e Tupi R$29.821 (liquidos) explicam parte - evidencia publica"</f>
        <v>INVESTIGAR Notas 9(e),(f): ganhos AK14 R$16.641 e Tupi R$29.821 (liquidos) explicam parte - evidencia publica</v>
      </c>
    </row>
    <row r="42" customFormat="false" ht="15" hidden="false" customHeight="false" outlineLevel="0" collapsed="false">
      <c r="A42" s="4" t="s">
        <v>71</v>
      </c>
      <c r="B42" s="5" t="n">
        <v>86036</v>
      </c>
      <c r="C42" s="5" t="n">
        <v>44891</v>
      </c>
      <c r="D42" s="10" t="n">
        <f aca="false">IF(C42=0,0,(B42-C42)/ABS(C42))</f>
        <v>0.916553429417923</v>
      </c>
      <c r="E42" s="4" t="str">
        <f aca="false">IF(ABS(B42-C42)&gt;$B$4,"INVESTIGAR","ok")&amp;" "</f>
        <v>INVESTIGAR </v>
      </c>
    </row>
    <row r="43" customFormat="false" ht="15" hidden="false" customHeight="false" outlineLevel="0" collapsed="false">
      <c r="A43" s="4" t="s">
        <v>72</v>
      </c>
      <c r="B43" s="5" t="n">
        <v>245765</v>
      </c>
      <c r="C43" s="5" t="n">
        <v>176919</v>
      </c>
      <c r="D43" s="10" t="n">
        <f aca="false">IF(C43=0,0,(B43-C43)/ABS(C43))</f>
        <v>0.389138532322701</v>
      </c>
      <c r="E43" s="4" t="str">
        <f aca="false">IF(ABS(B43-C43)&gt;$B$4,"INVESTIGAR","ok")&amp;" "</f>
        <v>INVESTIGAR </v>
      </c>
    </row>
    <row r="44" customFormat="false" ht="15" hidden="false" customHeight="false" outlineLevel="0" collapsed="false">
      <c r="A44" s="4" t="s">
        <v>73</v>
      </c>
      <c r="B44" s="5" t="n">
        <v>28016</v>
      </c>
      <c r="C44" s="5" t="n">
        <v>13130</v>
      </c>
      <c r="D44" s="10" t="n">
        <f aca="false">IF(C44=0,0,(B44-C44)/ABS(C44))</f>
        <v>1.13373952779893</v>
      </c>
      <c r="E44" s="4" t="str">
        <f aca="false">IF(ABS(B44-C44)&gt;$B$4,"INVESTIGAR","ok")&amp;" "</f>
        <v>INVESTIGAR </v>
      </c>
    </row>
    <row r="45" customFormat="false" ht="15" hidden="false" customHeight="false" outlineLevel="0" collapsed="false">
      <c r="A45" s="4" t="s">
        <v>74</v>
      </c>
      <c r="B45" s="5" t="n">
        <v>24125</v>
      </c>
      <c r="C45" s="5" t="n">
        <v>11062</v>
      </c>
      <c r="D45" s="10" t="n">
        <f aca="false">IF(C45=0,0,(B45-C45)/ABS(C45))</f>
        <v>1.18088953173025</v>
      </c>
      <c r="E45" s="4" t="str">
        <f aca="false">IF(ABS(B45-C45)&gt;$B$4,"INVESTIGAR","ok")&amp;" "</f>
        <v>INVESTIGAR 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8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76</v>
      </c>
      <c r="B4" s="3" t="s">
        <v>77</v>
      </c>
      <c r="C4" s="3" t="s">
        <v>59</v>
      </c>
      <c r="I4" s="4" t="s">
        <v>78</v>
      </c>
    </row>
    <row r="5" customFormat="false" ht="15" hidden="false" customHeight="false" outlineLevel="0" collapsed="false">
      <c r="A5" s="4" t="s">
        <v>79</v>
      </c>
      <c r="B5" s="12" t="n">
        <f aca="false">PT320!B14*1000</f>
        <v>19551000</v>
      </c>
    </row>
    <row r="6" customFormat="false" ht="15" hidden="false" customHeight="false" outlineLevel="0" collapsed="false">
      <c r="A6" s="4" t="s">
        <v>80</v>
      </c>
      <c r="B6" s="13" t="n">
        <v>3</v>
      </c>
    </row>
    <row r="7" customFormat="false" ht="15" hidden="false" customHeight="false" outlineLevel="0" collapsed="false">
      <c r="A7" s="4" t="s">
        <v>81</v>
      </c>
      <c r="B7" s="12" t="n">
        <f aca="false">B5/B6</f>
        <v>6517000</v>
      </c>
    </row>
    <row r="8" customFormat="false" ht="15" hidden="false" customHeight="false" outlineLevel="0" collapsed="false">
      <c r="A8" s="4" t="s">
        <v>82</v>
      </c>
      <c r="B8" s="14" t="n">
        <v>3151347632.41</v>
      </c>
    </row>
    <row r="9" customFormat="false" ht="15" hidden="false" customHeight="false" outlineLevel="0" collapsed="false">
      <c r="A9" s="4" t="s">
        <v>83</v>
      </c>
      <c r="B9" s="15" t="n">
        <f aca="false">ROUNDUP(B8/B7,0)</f>
        <v>484</v>
      </c>
    </row>
    <row r="10" customFormat="false" ht="15" hidden="false" customHeight="false" outlineLevel="0" collapsed="false">
      <c r="A10" s="4" t="s">
        <v>84</v>
      </c>
      <c r="B10" s="14" t="n">
        <v>5181875.98</v>
      </c>
    </row>
    <row r="11" customFormat="false" ht="15" hidden="false" customHeight="false" outlineLevel="0" collapsed="false">
      <c r="A11" s="4" t="s">
        <v>85</v>
      </c>
      <c r="B11" s="16" t="n">
        <v>0</v>
      </c>
    </row>
    <row r="12" customFormat="false" ht="15" hidden="false" customHeight="false" outlineLevel="0" collapsed="false">
      <c r="A12" s="4" t="s">
        <v>86</v>
      </c>
      <c r="B12" s="15" t="n">
        <f aca="false">COUNTA(A32:A600)</f>
        <v>483</v>
      </c>
    </row>
    <row r="14" customFormat="false" ht="15" hidden="false" customHeight="false" outlineLevel="0" collapsed="false">
      <c r="A14" s="3" t="s">
        <v>87</v>
      </c>
      <c r="B14" s="3" t="s">
        <v>88</v>
      </c>
      <c r="C14" s="3" t="s">
        <v>89</v>
      </c>
      <c r="D14" s="3" t="s">
        <v>90</v>
      </c>
    </row>
    <row r="15" customFormat="false" ht="15" hidden="false" customHeight="false" outlineLevel="0" collapsed="false">
      <c r="A15" s="4" t="s">
        <v>91</v>
      </c>
      <c r="D15" s="12" t="n">
        <f aca="false">B6*B7</f>
        <v>19551000</v>
      </c>
    </row>
    <row r="16" customFormat="false" ht="15" hidden="false" customHeight="false" outlineLevel="0" collapsed="false">
      <c r="A16" s="4" t="s">
        <v>92</v>
      </c>
      <c r="B16" s="17" t="n">
        <v>0.213696895342887</v>
      </c>
      <c r="C16" s="13" t="n">
        <v>1.75</v>
      </c>
      <c r="D16" s="12" t="n">
        <f aca="false">B16*C16*$B$7</f>
        <v>2437159.66716179</v>
      </c>
    </row>
    <row r="17" customFormat="false" ht="15" hidden="false" customHeight="false" outlineLevel="0" collapsed="false">
      <c r="A17" s="4" t="s">
        <v>93</v>
      </c>
      <c r="B17" s="17" t="n">
        <v>0.2119091657385</v>
      </c>
      <c r="C17" s="13" t="n">
        <v>1.55</v>
      </c>
      <c r="D17" s="12" t="n">
        <f aca="false">B17*C17*$B$7</f>
        <v>2140568.6513326</v>
      </c>
    </row>
    <row r="18" customFormat="false" ht="15" hidden="false" customHeight="false" outlineLevel="0" collapsed="false">
      <c r="A18" s="4" t="s">
        <v>94</v>
      </c>
      <c r="B18" s="17" t="n">
        <v>0.20933957033653</v>
      </c>
      <c r="C18" s="13" t="n">
        <v>1.46</v>
      </c>
      <c r="D18" s="12" t="n">
        <f aca="false">B18*C18*$B$7</f>
        <v>1991828.33062942</v>
      </c>
    </row>
    <row r="19" customFormat="false" ht="15" hidden="false" customHeight="false" outlineLevel="0" collapsed="false">
      <c r="A19" s="4" t="s">
        <v>95</v>
      </c>
      <c r="B19" s="17" t="n">
        <v>0.204962755088712</v>
      </c>
      <c r="C19" s="13" t="n">
        <v>1.4</v>
      </c>
      <c r="D19" s="12" t="n">
        <f aca="false">B19*C19*$B$7</f>
        <v>1870039.18487839</v>
      </c>
    </row>
    <row r="20" customFormat="false" ht="15" hidden="false" customHeight="false" outlineLevel="0" collapsed="false">
      <c r="A20" s="4" t="s">
        <v>96</v>
      </c>
      <c r="B20" s="17" t="n">
        <v>0.116119665584436</v>
      </c>
      <c r="C20" s="13" t="n">
        <v>1.36</v>
      </c>
      <c r="D20" s="12" t="n">
        <f aca="false">B20*C20*$B$7</f>
        <v>1029182.53043473</v>
      </c>
    </row>
    <row r="21" customFormat="false" ht="15" hidden="false" customHeight="false" outlineLevel="0" collapsed="false">
      <c r="A21" s="4" t="s">
        <v>97</v>
      </c>
      <c r="B21" s="17" t="n">
        <v>0.0921605342547557</v>
      </c>
      <c r="C21" s="13" t="n">
        <v>1.33</v>
      </c>
      <c r="D21" s="12" t="n">
        <f aca="false">B21*C21*$B$7</f>
        <v>798811.568311863</v>
      </c>
    </row>
    <row r="22" customFormat="false" ht="15" hidden="false" customHeight="false" outlineLevel="0" collapsed="false">
      <c r="A22" s="8" t="s">
        <v>98</v>
      </c>
      <c r="D22" s="18" t="n">
        <f aca="false">D15+SUM(D16:D21)</f>
        <v>29818589.9327488</v>
      </c>
    </row>
    <row r="23" customFormat="false" ht="15" hidden="false" customHeight="false" outlineLevel="0" collapsed="false">
      <c r="A23" s="4" t="s">
        <v>99</v>
      </c>
      <c r="D23" s="12" t="n">
        <f aca="false">SUMPRODUCT(B16:B21)*B7</f>
        <v>6831045.01721572</v>
      </c>
    </row>
    <row r="24" customFormat="false" ht="15" hidden="false" customHeight="false" outlineLevel="0" collapsed="false">
      <c r="A24" s="4" t="s">
        <v>100</v>
      </c>
      <c r="D24" s="4" t="str">
        <f aca="false">IF(D22&gt;B5,"EXCEDE PM: ampliar amostra/ajustar","DENTRO DA PM")</f>
        <v>EXCEDE PM: ampliar amostra/ajustar</v>
      </c>
    </row>
    <row r="25" customFormat="false" ht="15" hidden="false" customHeight="false" outlineLevel="0" collapsed="false">
      <c r="A25" s="4" t="s">
        <v>101</v>
      </c>
      <c r="D25" s="4" t="str">
        <f aca="false">IF(D22&gt;PT320!B12*1000,"EXCEDE GLOBAL","ABAIXO DA GLOBAL")</f>
        <v>ABAIXO DA GLOBAL</v>
      </c>
    </row>
    <row r="31" customFormat="false" ht="23.85" hidden="false" customHeight="false" outlineLevel="0" collapsed="false">
      <c r="A31" s="3" t="s">
        <v>102</v>
      </c>
      <c r="B31" s="3" t="s">
        <v>103</v>
      </c>
      <c r="C31" s="3" t="s">
        <v>104</v>
      </c>
      <c r="D31" s="3" t="s">
        <v>105</v>
      </c>
      <c r="E31" s="3" t="s">
        <v>106</v>
      </c>
      <c r="F31" s="3" t="s">
        <v>107</v>
      </c>
      <c r="G31" s="3" t="s">
        <v>88</v>
      </c>
    </row>
    <row r="32" customFormat="false" ht="15" hidden="false" customHeight="false" outlineLevel="0" collapsed="false">
      <c r="A32" s="19" t="n">
        <v>1530</v>
      </c>
      <c r="B32" s="19" t="n">
        <v>3324.38</v>
      </c>
      <c r="C32" s="19" t="n">
        <v>3324.38</v>
      </c>
      <c r="D32" s="19" t="n">
        <v>0</v>
      </c>
      <c r="E32" s="19"/>
      <c r="F32" s="20" t="b">
        <f aca="false">FALSE()</f>
        <v>0</v>
      </c>
      <c r="G32" s="19" t="n">
        <v>0</v>
      </c>
    </row>
    <row r="33" customFormat="false" ht="15" hidden="false" customHeight="false" outlineLevel="0" collapsed="false">
      <c r="A33" s="19" t="n">
        <v>3518</v>
      </c>
      <c r="B33" s="19" t="n">
        <v>3453.73</v>
      </c>
      <c r="C33" s="19" t="n">
        <v>3453.73</v>
      </c>
      <c r="D33" s="19" t="n">
        <v>0</v>
      </c>
      <c r="E33" s="19"/>
      <c r="F33" s="20" t="b">
        <f aca="false">FALSE()</f>
        <v>0</v>
      </c>
      <c r="G33" s="19" t="n">
        <v>0</v>
      </c>
    </row>
    <row r="34" customFormat="false" ht="15" hidden="false" customHeight="false" outlineLevel="0" collapsed="false">
      <c r="A34" s="19" t="n">
        <v>5476</v>
      </c>
      <c r="B34" s="19" t="n">
        <v>2419.56</v>
      </c>
      <c r="C34" s="19" t="n">
        <v>2419.56</v>
      </c>
      <c r="D34" s="19" t="n">
        <v>0</v>
      </c>
      <c r="E34" s="19"/>
      <c r="F34" s="20" t="b">
        <f aca="false">FALSE()</f>
        <v>0</v>
      </c>
      <c r="G34" s="19" t="n">
        <v>0</v>
      </c>
    </row>
    <row r="35" customFormat="false" ht="15" hidden="false" customHeight="false" outlineLevel="0" collapsed="false">
      <c r="A35" s="19" t="n">
        <v>7531</v>
      </c>
      <c r="B35" s="19" t="n">
        <v>36218.01</v>
      </c>
      <c r="C35" s="19" t="n">
        <v>36218.01</v>
      </c>
      <c r="D35" s="19" t="n">
        <v>0</v>
      </c>
      <c r="E35" s="19"/>
      <c r="F35" s="20" t="b">
        <f aca="false">FALSE()</f>
        <v>0</v>
      </c>
      <c r="G35" s="19" t="n">
        <v>0</v>
      </c>
    </row>
    <row r="36" customFormat="false" ht="15" hidden="false" customHeight="false" outlineLevel="0" collapsed="false">
      <c r="A36" s="19" t="n">
        <v>9388</v>
      </c>
      <c r="B36" s="19" t="n">
        <v>18383.41</v>
      </c>
      <c r="C36" s="19" t="n">
        <v>18383.41</v>
      </c>
      <c r="D36" s="19" t="n">
        <v>0</v>
      </c>
      <c r="E36" s="19"/>
      <c r="F36" s="20" t="b">
        <f aca="false">FALSE()</f>
        <v>0</v>
      </c>
      <c r="G36" s="19" t="n">
        <v>0</v>
      </c>
    </row>
    <row r="37" customFormat="false" ht="15" hidden="false" customHeight="false" outlineLevel="0" collapsed="false">
      <c r="A37" s="19" t="n">
        <v>11381</v>
      </c>
      <c r="B37" s="19" t="n">
        <v>1612.25</v>
      </c>
      <c r="C37" s="19" t="n">
        <v>1612.25</v>
      </c>
      <c r="D37" s="19" t="n">
        <v>0</v>
      </c>
      <c r="E37" s="19"/>
      <c r="F37" s="20" t="b">
        <f aca="false">FALSE()</f>
        <v>0</v>
      </c>
      <c r="G37" s="19" t="n">
        <v>0</v>
      </c>
    </row>
    <row r="38" customFormat="false" ht="15" hidden="false" customHeight="false" outlineLevel="0" collapsed="false">
      <c r="A38" s="19" t="n">
        <v>13434</v>
      </c>
      <c r="B38" s="19" t="n">
        <v>2400.99</v>
      </c>
      <c r="C38" s="19" t="n">
        <v>2400.99</v>
      </c>
      <c r="D38" s="19" t="n">
        <v>0</v>
      </c>
      <c r="E38" s="19"/>
      <c r="F38" s="20" t="b">
        <f aca="false">FALSE()</f>
        <v>0</v>
      </c>
      <c r="G38" s="19" t="n">
        <v>0</v>
      </c>
    </row>
    <row r="39" customFormat="false" ht="15" hidden="false" customHeight="false" outlineLevel="0" collapsed="false">
      <c r="A39" s="19" t="n">
        <v>15424</v>
      </c>
      <c r="B39" s="19" t="n">
        <v>6890.27</v>
      </c>
      <c r="C39" s="19" t="n">
        <v>6890.27</v>
      </c>
      <c r="D39" s="19" t="n">
        <v>0</v>
      </c>
      <c r="E39" s="19"/>
      <c r="F39" s="20" t="b">
        <f aca="false">FALSE()</f>
        <v>0</v>
      </c>
      <c r="G39" s="19" t="n">
        <v>0</v>
      </c>
    </row>
    <row r="40" customFormat="false" ht="15" hidden="false" customHeight="false" outlineLevel="0" collapsed="false">
      <c r="A40" s="19" t="n">
        <v>17522</v>
      </c>
      <c r="B40" s="19" t="n">
        <v>4961.63</v>
      </c>
      <c r="C40" s="19" t="n">
        <v>4961.63</v>
      </c>
      <c r="D40" s="19" t="n">
        <v>0</v>
      </c>
      <c r="E40" s="19"/>
      <c r="F40" s="20" t="b">
        <f aca="false">FALSE()</f>
        <v>0</v>
      </c>
      <c r="G40" s="19" t="n">
        <v>0</v>
      </c>
    </row>
    <row r="41" customFormat="false" ht="15" hidden="false" customHeight="false" outlineLevel="0" collapsed="false">
      <c r="A41" s="19" t="n">
        <v>19666</v>
      </c>
      <c r="B41" s="19" t="n">
        <v>16146.93</v>
      </c>
      <c r="C41" s="19" t="n">
        <v>16146.93</v>
      </c>
      <c r="D41" s="19" t="n">
        <v>0</v>
      </c>
      <c r="E41" s="19"/>
      <c r="F41" s="20" t="b">
        <f aca="false">FALSE()</f>
        <v>0</v>
      </c>
      <c r="G41" s="19" t="n">
        <v>0</v>
      </c>
    </row>
    <row r="42" customFormat="false" ht="15" hidden="false" customHeight="false" outlineLevel="0" collapsed="false">
      <c r="A42" s="19" t="n">
        <v>21677</v>
      </c>
      <c r="B42" s="19" t="n">
        <v>5896.11</v>
      </c>
      <c r="C42" s="19" t="n">
        <v>5896.11</v>
      </c>
      <c r="D42" s="19" t="n">
        <v>0</v>
      </c>
      <c r="E42" s="19"/>
      <c r="F42" s="20" t="b">
        <f aca="false">FALSE()</f>
        <v>0</v>
      </c>
      <c r="G42" s="19" t="n">
        <v>0</v>
      </c>
    </row>
    <row r="43" customFormat="false" ht="15" hidden="false" customHeight="false" outlineLevel="0" collapsed="false">
      <c r="A43" s="19" t="n">
        <v>23718</v>
      </c>
      <c r="B43" s="19" t="n">
        <v>3418.69</v>
      </c>
      <c r="C43" s="19" t="n">
        <v>3418.69</v>
      </c>
      <c r="D43" s="19" t="n">
        <v>0</v>
      </c>
      <c r="E43" s="19"/>
      <c r="F43" s="20" t="b">
        <f aca="false">FALSE()</f>
        <v>0</v>
      </c>
      <c r="G43" s="19" t="n">
        <v>0</v>
      </c>
    </row>
    <row r="44" customFormat="false" ht="15" hidden="false" customHeight="false" outlineLevel="0" collapsed="false">
      <c r="A44" s="19" t="n">
        <v>25724</v>
      </c>
      <c r="B44" s="19" t="n">
        <v>3105.1</v>
      </c>
      <c r="C44" s="19" t="n">
        <v>3105.1</v>
      </c>
      <c r="D44" s="19" t="n">
        <v>0</v>
      </c>
      <c r="E44" s="19"/>
      <c r="F44" s="20" t="b">
        <f aca="false">FALSE()</f>
        <v>0</v>
      </c>
      <c r="G44" s="19" t="n">
        <v>0</v>
      </c>
    </row>
    <row r="45" customFormat="false" ht="15" hidden="false" customHeight="false" outlineLevel="0" collapsed="false">
      <c r="A45" s="19" t="n">
        <v>27724</v>
      </c>
      <c r="B45" s="19" t="n">
        <v>4268.2</v>
      </c>
      <c r="C45" s="19" t="n">
        <v>4268.2</v>
      </c>
      <c r="D45" s="19" t="n">
        <v>0</v>
      </c>
      <c r="E45" s="19"/>
      <c r="F45" s="20" t="b">
        <f aca="false">FALSE()</f>
        <v>0</v>
      </c>
      <c r="G45" s="19" t="n">
        <v>0</v>
      </c>
    </row>
    <row r="46" customFormat="false" ht="15" hidden="false" customHeight="false" outlineLevel="0" collapsed="false">
      <c r="A46" s="19" t="n">
        <v>29707</v>
      </c>
      <c r="B46" s="19" t="n">
        <v>6526.04</v>
      </c>
      <c r="C46" s="19" t="n">
        <v>6526.04</v>
      </c>
      <c r="D46" s="19" t="n">
        <v>0</v>
      </c>
      <c r="E46" s="19"/>
      <c r="F46" s="20" t="b">
        <f aca="false">FALSE()</f>
        <v>0</v>
      </c>
      <c r="G46" s="19" t="n">
        <v>0</v>
      </c>
    </row>
    <row r="47" customFormat="false" ht="15" hidden="false" customHeight="false" outlineLevel="0" collapsed="false">
      <c r="A47" s="19" t="n">
        <v>31687</v>
      </c>
      <c r="B47" s="19" t="n">
        <v>28491.19</v>
      </c>
      <c r="C47" s="19" t="n">
        <v>28491.19</v>
      </c>
      <c r="D47" s="19" t="n">
        <v>0</v>
      </c>
      <c r="E47" s="19"/>
      <c r="F47" s="20" t="b">
        <f aca="false">FALSE()</f>
        <v>0</v>
      </c>
      <c r="G47" s="19" t="n">
        <v>0</v>
      </c>
    </row>
    <row r="48" customFormat="false" ht="15" hidden="false" customHeight="false" outlineLevel="0" collapsed="false">
      <c r="A48" s="19" t="n">
        <v>33651</v>
      </c>
      <c r="B48" s="19" t="n">
        <v>5094.81</v>
      </c>
      <c r="C48" s="19" t="n">
        <v>5094.81</v>
      </c>
      <c r="D48" s="19" t="n">
        <v>0</v>
      </c>
      <c r="E48" s="19"/>
      <c r="F48" s="20" t="b">
        <f aca="false">FALSE()</f>
        <v>0</v>
      </c>
      <c r="G48" s="19" t="n">
        <v>0</v>
      </c>
    </row>
    <row r="49" customFormat="false" ht="15" hidden="false" customHeight="false" outlineLevel="0" collapsed="false">
      <c r="A49" s="19" t="n">
        <v>35687</v>
      </c>
      <c r="B49" s="19" t="n">
        <v>2370.73</v>
      </c>
      <c r="C49" s="19" t="n">
        <v>2370.73</v>
      </c>
      <c r="D49" s="19" t="n">
        <v>0</v>
      </c>
      <c r="E49" s="19"/>
      <c r="F49" s="20" t="b">
        <f aca="false">FALSE()</f>
        <v>0</v>
      </c>
      <c r="G49" s="19" t="n">
        <v>0</v>
      </c>
    </row>
    <row r="50" customFormat="false" ht="15" hidden="false" customHeight="false" outlineLevel="0" collapsed="false">
      <c r="A50" s="19" t="n">
        <v>37701</v>
      </c>
      <c r="B50" s="19" t="n">
        <v>2404.97</v>
      </c>
      <c r="C50" s="19" t="n">
        <v>2404.97</v>
      </c>
      <c r="D50" s="19" t="n">
        <v>0</v>
      </c>
      <c r="E50" s="19"/>
      <c r="F50" s="20" t="b">
        <f aca="false">FALSE()</f>
        <v>0</v>
      </c>
      <c r="G50" s="19" t="n">
        <v>0</v>
      </c>
    </row>
    <row r="51" customFormat="false" ht="15" hidden="false" customHeight="false" outlineLevel="0" collapsed="false">
      <c r="A51" s="19" t="n">
        <v>39644</v>
      </c>
      <c r="B51" s="19" t="n">
        <v>8342.56</v>
      </c>
      <c r="C51" s="19" t="n">
        <v>8342.56</v>
      </c>
      <c r="D51" s="19" t="n">
        <v>0</v>
      </c>
      <c r="E51" s="19"/>
      <c r="F51" s="20" t="b">
        <f aca="false">FALSE()</f>
        <v>0</v>
      </c>
      <c r="G51" s="19" t="n">
        <v>0</v>
      </c>
    </row>
    <row r="52" customFormat="false" ht="15" hidden="false" customHeight="false" outlineLevel="0" collapsed="false">
      <c r="A52" s="19" t="n">
        <v>41593</v>
      </c>
      <c r="B52" s="19" t="n">
        <v>8629.26</v>
      </c>
      <c r="C52" s="19" t="n">
        <v>8629.26</v>
      </c>
      <c r="D52" s="19" t="n">
        <v>0</v>
      </c>
      <c r="E52" s="19"/>
      <c r="F52" s="20" t="b">
        <f aca="false">FALSE()</f>
        <v>0</v>
      </c>
      <c r="G52" s="19" t="n">
        <v>0</v>
      </c>
    </row>
    <row r="53" customFormat="false" ht="15" hidden="false" customHeight="false" outlineLevel="0" collapsed="false">
      <c r="A53" s="19" t="n">
        <v>43502</v>
      </c>
      <c r="B53" s="19" t="n">
        <v>4039.67</v>
      </c>
      <c r="C53" s="19" t="n">
        <v>4039.67</v>
      </c>
      <c r="D53" s="19" t="n">
        <v>0</v>
      </c>
      <c r="E53" s="19"/>
      <c r="F53" s="20" t="b">
        <f aca="false">FALSE()</f>
        <v>0</v>
      </c>
      <c r="G53" s="19" t="n">
        <v>0</v>
      </c>
    </row>
    <row r="54" customFormat="false" ht="15" hidden="false" customHeight="false" outlineLevel="0" collapsed="false">
      <c r="A54" s="19" t="n">
        <v>45565</v>
      </c>
      <c r="B54" s="19" t="n">
        <v>5844.07</v>
      </c>
      <c r="C54" s="19" t="n">
        <v>5844.07</v>
      </c>
      <c r="D54" s="19" t="n">
        <v>0</v>
      </c>
      <c r="E54" s="19"/>
      <c r="F54" s="20" t="b">
        <f aca="false">FALSE()</f>
        <v>0</v>
      </c>
      <c r="G54" s="19" t="n">
        <v>0</v>
      </c>
    </row>
    <row r="55" customFormat="false" ht="15" hidden="false" customHeight="false" outlineLevel="0" collapsed="false">
      <c r="A55" s="19" t="n">
        <v>47604</v>
      </c>
      <c r="B55" s="19" t="n">
        <v>11770.73</v>
      </c>
      <c r="C55" s="19" t="n">
        <v>11770.73</v>
      </c>
      <c r="D55" s="19" t="n">
        <v>0</v>
      </c>
      <c r="E55" s="19"/>
      <c r="F55" s="20" t="b">
        <f aca="false">FALSE()</f>
        <v>0</v>
      </c>
      <c r="G55" s="19" t="n">
        <v>0</v>
      </c>
    </row>
    <row r="56" customFormat="false" ht="15" hidden="false" customHeight="false" outlineLevel="0" collapsed="false">
      <c r="A56" s="19" t="n">
        <v>49550</v>
      </c>
      <c r="B56" s="19" t="n">
        <v>12681.66</v>
      </c>
      <c r="C56" s="19" t="n">
        <v>12681.66</v>
      </c>
      <c r="D56" s="19" t="n">
        <v>0</v>
      </c>
      <c r="E56" s="19"/>
      <c r="F56" s="20" t="b">
        <f aca="false">FALSE()</f>
        <v>0</v>
      </c>
      <c r="G56" s="19" t="n">
        <v>0</v>
      </c>
    </row>
    <row r="57" customFormat="false" ht="15" hidden="false" customHeight="false" outlineLevel="0" collapsed="false">
      <c r="A57" s="19" t="n">
        <v>51520</v>
      </c>
      <c r="B57" s="19" t="n">
        <v>11990.24</v>
      </c>
      <c r="C57" s="19" t="n">
        <v>11990.24</v>
      </c>
      <c r="D57" s="19" t="n">
        <v>0</v>
      </c>
      <c r="E57" s="19"/>
      <c r="F57" s="20" t="b">
        <f aca="false">FALSE()</f>
        <v>0</v>
      </c>
      <c r="G57" s="19" t="n">
        <v>0</v>
      </c>
    </row>
    <row r="58" customFormat="false" ht="15" hidden="false" customHeight="false" outlineLevel="0" collapsed="false">
      <c r="A58" s="19" t="n">
        <v>53563</v>
      </c>
      <c r="B58" s="19" t="n">
        <v>1936.67</v>
      </c>
      <c r="C58" s="19" t="n">
        <v>1936.67</v>
      </c>
      <c r="D58" s="19" t="n">
        <v>0</v>
      </c>
      <c r="E58" s="19"/>
      <c r="F58" s="20" t="b">
        <f aca="false">FALSE()</f>
        <v>0</v>
      </c>
      <c r="G58" s="19" t="n">
        <v>0</v>
      </c>
    </row>
    <row r="59" customFormat="false" ht="15" hidden="false" customHeight="false" outlineLevel="0" collapsed="false">
      <c r="A59" s="19" t="n">
        <v>55526</v>
      </c>
      <c r="B59" s="19" t="n">
        <v>21138.58</v>
      </c>
      <c r="C59" s="19" t="n">
        <v>21138.58</v>
      </c>
      <c r="D59" s="19" t="n">
        <v>0</v>
      </c>
      <c r="E59" s="19"/>
      <c r="F59" s="20" t="b">
        <f aca="false">FALSE()</f>
        <v>0</v>
      </c>
      <c r="G59" s="19" t="n">
        <v>0</v>
      </c>
    </row>
    <row r="60" customFormat="false" ht="15" hidden="false" customHeight="false" outlineLevel="0" collapsed="false">
      <c r="A60" s="19" t="n">
        <v>57429</v>
      </c>
      <c r="B60" s="19" t="n">
        <v>10634.52</v>
      </c>
      <c r="C60" s="19" t="n">
        <v>10634.52</v>
      </c>
      <c r="D60" s="19" t="n">
        <v>0</v>
      </c>
      <c r="E60" s="19"/>
      <c r="F60" s="20" t="b">
        <f aca="false">FALSE()</f>
        <v>0</v>
      </c>
      <c r="G60" s="19" t="n">
        <v>0</v>
      </c>
    </row>
    <row r="61" customFormat="false" ht="15" hidden="false" customHeight="false" outlineLevel="0" collapsed="false">
      <c r="A61" s="19" t="n">
        <v>59542</v>
      </c>
      <c r="B61" s="19" t="n">
        <v>2192.93</v>
      </c>
      <c r="C61" s="19" t="n">
        <v>2192.93</v>
      </c>
      <c r="D61" s="19" t="n">
        <v>0</v>
      </c>
      <c r="E61" s="19"/>
      <c r="F61" s="20" t="b">
        <f aca="false">FALSE()</f>
        <v>0</v>
      </c>
      <c r="G61" s="19" t="n">
        <v>0</v>
      </c>
    </row>
    <row r="62" customFormat="false" ht="15" hidden="false" customHeight="false" outlineLevel="0" collapsed="false">
      <c r="A62" s="19" t="n">
        <v>61460</v>
      </c>
      <c r="B62" s="19" t="n">
        <v>21546.57</v>
      </c>
      <c r="C62" s="19" t="n">
        <v>21546.57</v>
      </c>
      <c r="D62" s="19" t="n">
        <v>0</v>
      </c>
      <c r="E62" s="19"/>
      <c r="F62" s="20" t="b">
        <f aca="false">FALSE()</f>
        <v>0</v>
      </c>
      <c r="G62" s="19" t="n">
        <v>0</v>
      </c>
    </row>
    <row r="63" customFormat="false" ht="15" hidden="false" customHeight="false" outlineLevel="0" collapsed="false">
      <c r="A63" s="19" t="n">
        <v>63413</v>
      </c>
      <c r="B63" s="19" t="n">
        <v>26787.86</v>
      </c>
      <c r="C63" s="19" t="n">
        <v>26787.86</v>
      </c>
      <c r="D63" s="19" t="n">
        <v>0</v>
      </c>
      <c r="E63" s="19"/>
      <c r="F63" s="20" t="b">
        <f aca="false">FALSE()</f>
        <v>0</v>
      </c>
      <c r="G63" s="19" t="n">
        <v>0</v>
      </c>
    </row>
    <row r="64" customFormat="false" ht="15" hidden="false" customHeight="false" outlineLevel="0" collapsed="false">
      <c r="A64" s="19" t="n">
        <v>65332</v>
      </c>
      <c r="B64" s="19" t="n">
        <v>1420.63</v>
      </c>
      <c r="C64" s="19" t="n">
        <v>1420.63</v>
      </c>
      <c r="D64" s="19" t="n">
        <v>0</v>
      </c>
      <c r="E64" s="19"/>
      <c r="F64" s="20" t="b">
        <f aca="false">FALSE()</f>
        <v>0</v>
      </c>
      <c r="G64" s="19" t="n">
        <v>0</v>
      </c>
    </row>
    <row r="65" customFormat="false" ht="15" hidden="false" customHeight="false" outlineLevel="0" collapsed="false">
      <c r="A65" s="19" t="n">
        <v>67284</v>
      </c>
      <c r="B65" s="19" t="n">
        <v>25571.32</v>
      </c>
      <c r="C65" s="19" t="n">
        <v>25571.32</v>
      </c>
      <c r="D65" s="19" t="n">
        <v>0</v>
      </c>
      <c r="E65" s="19"/>
      <c r="F65" s="20" t="b">
        <f aca="false">FALSE()</f>
        <v>0</v>
      </c>
      <c r="G65" s="19" t="n">
        <v>0</v>
      </c>
    </row>
    <row r="66" customFormat="false" ht="15" hidden="false" customHeight="false" outlineLevel="0" collapsed="false">
      <c r="A66" s="19" t="n">
        <v>69414</v>
      </c>
      <c r="B66" s="19" t="n">
        <v>8920.11</v>
      </c>
      <c r="C66" s="19" t="n">
        <v>8920.11</v>
      </c>
      <c r="D66" s="19" t="n">
        <v>0</v>
      </c>
      <c r="E66" s="19"/>
      <c r="F66" s="20" t="b">
        <f aca="false">FALSE()</f>
        <v>0</v>
      </c>
      <c r="G66" s="19" t="n">
        <v>0</v>
      </c>
    </row>
    <row r="67" customFormat="false" ht="15" hidden="false" customHeight="false" outlineLevel="0" collapsed="false">
      <c r="A67" s="19" t="n">
        <v>71338</v>
      </c>
      <c r="B67" s="19" t="n">
        <v>5379.71</v>
      </c>
      <c r="C67" s="19" t="n">
        <v>5379.71</v>
      </c>
      <c r="D67" s="19" t="n">
        <v>0</v>
      </c>
      <c r="E67" s="19"/>
      <c r="F67" s="20" t="b">
        <f aca="false">FALSE()</f>
        <v>0</v>
      </c>
      <c r="G67" s="19" t="n">
        <v>0</v>
      </c>
    </row>
    <row r="68" customFormat="false" ht="15" hidden="false" customHeight="false" outlineLevel="0" collapsed="false">
      <c r="A68" s="19" t="n">
        <v>73375</v>
      </c>
      <c r="B68" s="19" t="n">
        <v>8733.93</v>
      </c>
      <c r="C68" s="19" t="n">
        <v>8733.93</v>
      </c>
      <c r="D68" s="19" t="n">
        <v>0</v>
      </c>
      <c r="E68" s="19"/>
      <c r="F68" s="20" t="b">
        <f aca="false">FALSE()</f>
        <v>0</v>
      </c>
      <c r="G68" s="19" t="n">
        <v>0</v>
      </c>
    </row>
    <row r="69" customFormat="false" ht="15" hidden="false" customHeight="false" outlineLevel="0" collapsed="false">
      <c r="A69" s="19" t="n">
        <v>75367</v>
      </c>
      <c r="B69" s="19" t="n">
        <v>15936.98</v>
      </c>
      <c r="C69" s="19" t="n">
        <v>15936.98</v>
      </c>
      <c r="D69" s="19" t="n">
        <v>0</v>
      </c>
      <c r="E69" s="19"/>
      <c r="F69" s="20" t="b">
        <f aca="false">FALSE()</f>
        <v>0</v>
      </c>
      <c r="G69" s="19" t="n">
        <v>0</v>
      </c>
    </row>
    <row r="70" customFormat="false" ht="15" hidden="false" customHeight="false" outlineLevel="0" collapsed="false">
      <c r="A70" s="19" t="n">
        <v>77331</v>
      </c>
      <c r="B70" s="19" t="n">
        <v>7358.7</v>
      </c>
      <c r="C70" s="19" t="n">
        <v>7358.7</v>
      </c>
      <c r="D70" s="19" t="n">
        <v>0</v>
      </c>
      <c r="E70" s="19"/>
      <c r="F70" s="20" t="b">
        <f aca="false">FALSE()</f>
        <v>0</v>
      </c>
      <c r="G70" s="19" t="n">
        <v>0</v>
      </c>
    </row>
    <row r="71" customFormat="false" ht="15" hidden="false" customHeight="false" outlineLevel="0" collapsed="false">
      <c r="A71" s="19" t="n">
        <v>79339</v>
      </c>
      <c r="B71" s="19" t="n">
        <v>42223.11</v>
      </c>
      <c r="C71" s="19" t="n">
        <v>42223.11</v>
      </c>
      <c r="D71" s="19" t="n">
        <v>0</v>
      </c>
      <c r="E71" s="19"/>
      <c r="F71" s="20" t="b">
        <f aca="false">FALSE()</f>
        <v>0</v>
      </c>
      <c r="G71" s="19" t="n">
        <v>0</v>
      </c>
    </row>
    <row r="72" customFormat="false" ht="15" hidden="false" customHeight="false" outlineLevel="0" collapsed="false">
      <c r="A72" s="19" t="n">
        <v>81301</v>
      </c>
      <c r="B72" s="19" t="n">
        <v>16557.23</v>
      </c>
      <c r="C72" s="19" t="n">
        <v>16557.23</v>
      </c>
      <c r="D72" s="19" t="n">
        <v>0</v>
      </c>
      <c r="E72" s="19"/>
      <c r="F72" s="20" t="b">
        <f aca="false">FALSE()</f>
        <v>0</v>
      </c>
      <c r="G72" s="19" t="n">
        <v>0</v>
      </c>
    </row>
    <row r="73" customFormat="false" ht="15" hidden="false" customHeight="false" outlineLevel="0" collapsed="false">
      <c r="A73" s="19" t="n">
        <v>83233</v>
      </c>
      <c r="B73" s="19" t="n">
        <v>5900.59</v>
      </c>
      <c r="C73" s="19" t="n">
        <v>5900.59</v>
      </c>
      <c r="D73" s="19" t="n">
        <v>0</v>
      </c>
      <c r="E73" s="19"/>
      <c r="F73" s="20" t="b">
        <f aca="false">FALSE()</f>
        <v>0</v>
      </c>
      <c r="G73" s="19" t="n">
        <v>0</v>
      </c>
    </row>
    <row r="74" customFormat="false" ht="15" hidden="false" customHeight="false" outlineLevel="0" collapsed="false">
      <c r="A74" s="19" t="n">
        <v>85303</v>
      </c>
      <c r="B74" s="19" t="n">
        <v>6922.2</v>
      </c>
      <c r="C74" s="19" t="n">
        <v>6922.2</v>
      </c>
      <c r="D74" s="19" t="n">
        <v>0</v>
      </c>
      <c r="E74" s="19"/>
      <c r="F74" s="20" t="b">
        <f aca="false">FALSE()</f>
        <v>0</v>
      </c>
      <c r="G74" s="19" t="n">
        <v>0</v>
      </c>
    </row>
    <row r="75" customFormat="false" ht="15" hidden="false" customHeight="false" outlineLevel="0" collapsed="false">
      <c r="A75" s="19" t="n">
        <v>87202</v>
      </c>
      <c r="B75" s="19" t="n">
        <v>16778.44</v>
      </c>
      <c r="C75" s="19" t="n">
        <v>16778.44</v>
      </c>
      <c r="D75" s="19" t="n">
        <v>0</v>
      </c>
      <c r="E75" s="19"/>
      <c r="F75" s="20" t="b">
        <f aca="false">FALSE()</f>
        <v>0</v>
      </c>
      <c r="G75" s="19" t="n">
        <v>0</v>
      </c>
    </row>
    <row r="76" customFormat="false" ht="15" hidden="false" customHeight="false" outlineLevel="0" collapsed="false">
      <c r="A76" s="19" t="n">
        <v>89356</v>
      </c>
      <c r="B76" s="19" t="n">
        <v>18300.71</v>
      </c>
      <c r="C76" s="19" t="n">
        <v>18300.71</v>
      </c>
      <c r="D76" s="19" t="n">
        <v>0</v>
      </c>
      <c r="E76" s="19"/>
      <c r="F76" s="20" t="b">
        <f aca="false">FALSE()</f>
        <v>0</v>
      </c>
      <c r="G76" s="19" t="n">
        <v>0</v>
      </c>
    </row>
    <row r="77" customFormat="false" ht="15" hidden="false" customHeight="false" outlineLevel="0" collapsed="false">
      <c r="A77" s="19" t="n">
        <v>91579</v>
      </c>
      <c r="B77" s="19" t="n">
        <v>4945.61</v>
      </c>
      <c r="C77" s="19" t="n">
        <v>4945.61</v>
      </c>
      <c r="D77" s="19" t="n">
        <v>0</v>
      </c>
      <c r="E77" s="19"/>
      <c r="F77" s="20" t="b">
        <f aca="false">FALSE()</f>
        <v>0</v>
      </c>
      <c r="G77" s="19" t="n">
        <v>0</v>
      </c>
    </row>
    <row r="78" customFormat="false" ht="15" hidden="false" customHeight="false" outlineLevel="0" collapsed="false">
      <c r="A78" s="19" t="n">
        <v>93668</v>
      </c>
      <c r="B78" s="19" t="n">
        <v>7069.01</v>
      </c>
      <c r="C78" s="19" t="n">
        <v>7069.01</v>
      </c>
      <c r="D78" s="19" t="n">
        <v>0</v>
      </c>
      <c r="E78" s="19"/>
      <c r="F78" s="20" t="b">
        <f aca="false">FALSE()</f>
        <v>0</v>
      </c>
      <c r="G78" s="19" t="n">
        <v>0</v>
      </c>
    </row>
    <row r="79" customFormat="false" ht="15" hidden="false" customHeight="false" outlineLevel="0" collapsed="false">
      <c r="A79" s="19" t="n">
        <v>95787</v>
      </c>
      <c r="B79" s="19" t="n">
        <v>3976.53</v>
      </c>
      <c r="C79" s="19" t="n">
        <v>3976.53</v>
      </c>
      <c r="D79" s="19" t="n">
        <v>0</v>
      </c>
      <c r="E79" s="19"/>
      <c r="F79" s="20" t="b">
        <f aca="false">FALSE()</f>
        <v>0</v>
      </c>
      <c r="G79" s="19" t="n">
        <v>0</v>
      </c>
    </row>
    <row r="80" customFormat="false" ht="15" hidden="false" customHeight="false" outlineLevel="0" collapsed="false">
      <c r="A80" s="19" t="n">
        <v>97639</v>
      </c>
      <c r="B80" s="19" t="n">
        <v>4342.65</v>
      </c>
      <c r="C80" s="19" t="n">
        <v>4342.65</v>
      </c>
      <c r="D80" s="19" t="n">
        <v>0</v>
      </c>
      <c r="E80" s="19"/>
      <c r="F80" s="20" t="b">
        <f aca="false">FALSE()</f>
        <v>0</v>
      </c>
      <c r="G80" s="19" t="n">
        <v>0</v>
      </c>
    </row>
    <row r="81" customFormat="false" ht="15" hidden="false" customHeight="false" outlineLevel="0" collapsed="false">
      <c r="A81" s="19" t="n">
        <v>99462</v>
      </c>
      <c r="B81" s="19" t="n">
        <v>525.65</v>
      </c>
      <c r="C81" s="19" t="n">
        <v>525.65</v>
      </c>
      <c r="D81" s="19" t="n">
        <v>0</v>
      </c>
      <c r="E81" s="19"/>
      <c r="F81" s="20" t="b">
        <f aca="false">FALSE()</f>
        <v>0</v>
      </c>
      <c r="G81" s="19" t="n">
        <v>0</v>
      </c>
    </row>
    <row r="82" customFormat="false" ht="15" hidden="false" customHeight="false" outlineLevel="0" collapsed="false">
      <c r="A82" s="19" t="n">
        <v>101466</v>
      </c>
      <c r="B82" s="19" t="n">
        <v>9257.27</v>
      </c>
      <c r="C82" s="19" t="n">
        <v>9257.27</v>
      </c>
      <c r="D82" s="19" t="n">
        <v>0</v>
      </c>
      <c r="E82" s="19"/>
      <c r="F82" s="20" t="b">
        <f aca="false">FALSE()</f>
        <v>0</v>
      </c>
      <c r="G82" s="19" t="n">
        <v>0</v>
      </c>
    </row>
    <row r="83" customFormat="false" ht="15" hidden="false" customHeight="false" outlineLevel="0" collapsed="false">
      <c r="A83" s="19" t="n">
        <v>103530</v>
      </c>
      <c r="B83" s="19" t="n">
        <v>19361.5</v>
      </c>
      <c r="C83" s="19" t="n">
        <v>19361.5</v>
      </c>
      <c r="D83" s="19" t="n">
        <v>0</v>
      </c>
      <c r="E83" s="19"/>
      <c r="F83" s="20" t="b">
        <f aca="false">FALSE()</f>
        <v>0</v>
      </c>
      <c r="G83" s="19" t="n">
        <v>0</v>
      </c>
    </row>
    <row r="84" customFormat="false" ht="15" hidden="false" customHeight="false" outlineLevel="0" collapsed="false">
      <c r="A84" s="19" t="n">
        <v>105556</v>
      </c>
      <c r="B84" s="19" t="n">
        <v>4295.73</v>
      </c>
      <c r="C84" s="19" t="n">
        <v>4295.73</v>
      </c>
      <c r="D84" s="19" t="n">
        <v>0</v>
      </c>
      <c r="E84" s="19"/>
      <c r="F84" s="20" t="b">
        <f aca="false">FALSE()</f>
        <v>0</v>
      </c>
      <c r="G84" s="19" t="n">
        <v>0</v>
      </c>
    </row>
    <row r="85" customFormat="false" ht="15" hidden="false" customHeight="false" outlineLevel="0" collapsed="false">
      <c r="A85" s="19" t="n">
        <v>107594</v>
      </c>
      <c r="B85" s="19" t="n">
        <v>1878.45</v>
      </c>
      <c r="C85" s="19" t="n">
        <v>1878.45</v>
      </c>
      <c r="D85" s="19" t="n">
        <v>0</v>
      </c>
      <c r="E85" s="19"/>
      <c r="F85" s="20" t="b">
        <f aca="false">FALSE()</f>
        <v>0</v>
      </c>
      <c r="G85" s="19" t="n">
        <v>0</v>
      </c>
    </row>
    <row r="86" customFormat="false" ht="15" hidden="false" customHeight="false" outlineLevel="0" collapsed="false">
      <c r="A86" s="19" t="n">
        <v>109652</v>
      </c>
      <c r="B86" s="19" t="n">
        <v>5009.71</v>
      </c>
      <c r="C86" s="19" t="n">
        <v>5009.71</v>
      </c>
      <c r="D86" s="19" t="n">
        <v>0</v>
      </c>
      <c r="E86" s="19"/>
      <c r="F86" s="20" t="b">
        <f aca="false">FALSE()</f>
        <v>0</v>
      </c>
      <c r="G86" s="19" t="n">
        <v>0</v>
      </c>
    </row>
    <row r="87" customFormat="false" ht="15" hidden="false" customHeight="false" outlineLevel="0" collapsed="false">
      <c r="A87" s="19" t="n">
        <v>111603</v>
      </c>
      <c r="B87" s="19" t="n">
        <v>9336.21</v>
      </c>
      <c r="C87" s="19" t="n">
        <v>9336.21</v>
      </c>
      <c r="D87" s="19" t="n">
        <v>0</v>
      </c>
      <c r="E87" s="19"/>
      <c r="F87" s="20" t="b">
        <f aca="false">FALSE()</f>
        <v>0</v>
      </c>
      <c r="G87" s="19" t="n">
        <v>0</v>
      </c>
    </row>
    <row r="88" customFormat="false" ht="15" hidden="false" customHeight="false" outlineLevel="0" collapsed="false">
      <c r="A88" s="19" t="n">
        <v>113570</v>
      </c>
      <c r="B88" s="19" t="n">
        <v>9372.71</v>
      </c>
      <c r="C88" s="19" t="n">
        <v>9372.71</v>
      </c>
      <c r="D88" s="19" t="n">
        <v>0</v>
      </c>
      <c r="E88" s="19"/>
      <c r="F88" s="20" t="b">
        <f aca="false">FALSE()</f>
        <v>0</v>
      </c>
      <c r="G88" s="19" t="n">
        <v>0</v>
      </c>
    </row>
    <row r="89" customFormat="false" ht="15" hidden="false" customHeight="false" outlineLevel="0" collapsed="false">
      <c r="A89" s="19" t="n">
        <v>115634</v>
      </c>
      <c r="B89" s="19" t="n">
        <v>2864.58</v>
      </c>
      <c r="C89" s="19" t="n">
        <v>2864.58</v>
      </c>
      <c r="D89" s="19" t="n">
        <v>0</v>
      </c>
      <c r="E89" s="19"/>
      <c r="F89" s="20" t="b">
        <f aca="false">FALSE()</f>
        <v>0</v>
      </c>
      <c r="G89" s="19" t="n">
        <v>0</v>
      </c>
    </row>
    <row r="90" customFormat="false" ht="15" hidden="false" customHeight="false" outlineLevel="0" collapsed="false">
      <c r="A90" s="19" t="n">
        <v>117626</v>
      </c>
      <c r="B90" s="19" t="n">
        <v>1014.17</v>
      </c>
      <c r="C90" s="19" t="n">
        <v>1014.17</v>
      </c>
      <c r="D90" s="19" t="n">
        <v>0</v>
      </c>
      <c r="E90" s="19"/>
      <c r="F90" s="20" t="b">
        <f aca="false">FALSE()</f>
        <v>0</v>
      </c>
      <c r="G90" s="19" t="n">
        <v>0</v>
      </c>
    </row>
    <row r="91" customFormat="false" ht="15" hidden="false" customHeight="false" outlineLevel="0" collapsed="false">
      <c r="A91" s="19" t="n">
        <v>119710</v>
      </c>
      <c r="B91" s="19" t="n">
        <v>18392.68</v>
      </c>
      <c r="C91" s="19" t="n">
        <v>18392.68</v>
      </c>
      <c r="D91" s="19" t="n">
        <v>0</v>
      </c>
      <c r="E91" s="19"/>
      <c r="F91" s="20" t="b">
        <f aca="false">FALSE()</f>
        <v>0</v>
      </c>
      <c r="G91" s="19" t="n">
        <v>0</v>
      </c>
    </row>
    <row r="92" customFormat="false" ht="15" hidden="false" customHeight="false" outlineLevel="0" collapsed="false">
      <c r="A92" s="19" t="n">
        <v>121706</v>
      </c>
      <c r="B92" s="19" t="n">
        <v>3318.09</v>
      </c>
      <c r="C92" s="19" t="n">
        <v>3318.09</v>
      </c>
      <c r="D92" s="19" t="n">
        <v>0</v>
      </c>
      <c r="E92" s="19"/>
      <c r="F92" s="20" t="b">
        <f aca="false">FALSE()</f>
        <v>0</v>
      </c>
      <c r="G92" s="19" t="n">
        <v>0</v>
      </c>
    </row>
    <row r="93" customFormat="false" ht="15" hidden="false" customHeight="false" outlineLevel="0" collapsed="false">
      <c r="A93" s="19" t="n">
        <v>123709</v>
      </c>
      <c r="B93" s="19" t="n">
        <v>22884.66</v>
      </c>
      <c r="C93" s="19" t="n">
        <v>22884.66</v>
      </c>
      <c r="D93" s="19" t="n">
        <v>0</v>
      </c>
      <c r="E93" s="19"/>
      <c r="F93" s="20" t="b">
        <f aca="false">FALSE()</f>
        <v>0</v>
      </c>
      <c r="G93" s="19" t="n">
        <v>0</v>
      </c>
    </row>
    <row r="94" customFormat="false" ht="15" hidden="false" customHeight="false" outlineLevel="0" collapsed="false">
      <c r="A94" s="19" t="n">
        <v>125800</v>
      </c>
      <c r="B94" s="19" t="n">
        <v>3248.64</v>
      </c>
      <c r="C94" s="19" t="n">
        <v>3248.64</v>
      </c>
      <c r="D94" s="19" t="n">
        <v>0</v>
      </c>
      <c r="E94" s="19"/>
      <c r="F94" s="20" t="b">
        <f aca="false">FALSE()</f>
        <v>0</v>
      </c>
      <c r="G94" s="19" t="n">
        <v>0</v>
      </c>
    </row>
    <row r="95" customFormat="false" ht="15" hidden="false" customHeight="false" outlineLevel="0" collapsed="false">
      <c r="A95" s="19" t="n">
        <v>127800</v>
      </c>
      <c r="B95" s="19" t="n">
        <v>3773.59</v>
      </c>
      <c r="C95" s="19" t="n">
        <v>3773.59</v>
      </c>
      <c r="D95" s="19" t="n">
        <v>0</v>
      </c>
      <c r="E95" s="19"/>
      <c r="F95" s="20" t="b">
        <f aca="false">FALSE()</f>
        <v>0</v>
      </c>
      <c r="G95" s="19" t="n">
        <v>0</v>
      </c>
    </row>
    <row r="96" customFormat="false" ht="15" hidden="false" customHeight="false" outlineLevel="0" collapsed="false">
      <c r="A96" s="19" t="n">
        <v>129666</v>
      </c>
      <c r="B96" s="19" t="n">
        <v>3081.83</v>
      </c>
      <c r="C96" s="19" t="n">
        <v>3081.83</v>
      </c>
      <c r="D96" s="19" t="n">
        <v>0</v>
      </c>
      <c r="E96" s="19"/>
      <c r="F96" s="20" t="b">
        <f aca="false">FALSE()</f>
        <v>0</v>
      </c>
      <c r="G96" s="19" t="n">
        <v>0</v>
      </c>
    </row>
    <row r="97" customFormat="false" ht="15" hidden="false" customHeight="false" outlineLevel="0" collapsed="false">
      <c r="A97" s="19" t="n">
        <v>131612</v>
      </c>
      <c r="B97" s="19" t="n">
        <v>16684.69</v>
      </c>
      <c r="C97" s="19" t="n">
        <v>16684.69</v>
      </c>
      <c r="D97" s="19" t="n">
        <v>0</v>
      </c>
      <c r="E97" s="19"/>
      <c r="F97" s="20" t="b">
        <f aca="false">FALSE()</f>
        <v>0</v>
      </c>
      <c r="G97" s="19" t="n">
        <v>0</v>
      </c>
    </row>
    <row r="98" customFormat="false" ht="15" hidden="false" customHeight="false" outlineLevel="0" collapsed="false">
      <c r="A98" s="19" t="n">
        <v>133619</v>
      </c>
      <c r="B98" s="19" t="n">
        <v>1400.48</v>
      </c>
      <c r="C98" s="19" t="n">
        <v>1400.48</v>
      </c>
      <c r="D98" s="19" t="n">
        <v>0</v>
      </c>
      <c r="E98" s="19"/>
      <c r="F98" s="20" t="b">
        <f aca="false">FALSE()</f>
        <v>0</v>
      </c>
      <c r="G98" s="19" t="n">
        <v>0</v>
      </c>
    </row>
    <row r="99" customFormat="false" ht="15" hidden="false" customHeight="false" outlineLevel="0" collapsed="false">
      <c r="A99" s="19" t="n">
        <v>135660</v>
      </c>
      <c r="B99" s="19" t="n">
        <v>5799.95</v>
      </c>
      <c r="C99" s="19" t="n">
        <v>5799.95</v>
      </c>
      <c r="D99" s="19" t="n">
        <v>0</v>
      </c>
      <c r="E99" s="19"/>
      <c r="F99" s="20" t="b">
        <f aca="false">FALSE()</f>
        <v>0</v>
      </c>
      <c r="G99" s="19" t="n">
        <v>0</v>
      </c>
    </row>
    <row r="100" customFormat="false" ht="15" hidden="false" customHeight="false" outlineLevel="0" collapsed="false">
      <c r="A100" s="19" t="n">
        <v>137755</v>
      </c>
      <c r="B100" s="19" t="n">
        <v>9125.31</v>
      </c>
      <c r="C100" s="19" t="n">
        <v>9125.31</v>
      </c>
      <c r="D100" s="19" t="n">
        <v>0</v>
      </c>
      <c r="E100" s="19"/>
      <c r="F100" s="20" t="b">
        <f aca="false">FALSE()</f>
        <v>0</v>
      </c>
      <c r="G100" s="19" t="n">
        <v>0</v>
      </c>
    </row>
    <row r="101" customFormat="false" ht="15" hidden="false" customHeight="false" outlineLevel="0" collapsed="false">
      <c r="A101" s="19" t="n">
        <v>139746</v>
      </c>
      <c r="B101" s="19" t="n">
        <v>18797.53</v>
      </c>
      <c r="C101" s="19" t="n">
        <v>18797.53</v>
      </c>
      <c r="D101" s="19" t="n">
        <v>0</v>
      </c>
      <c r="E101" s="19"/>
      <c r="F101" s="20" t="b">
        <f aca="false">FALSE()</f>
        <v>0</v>
      </c>
      <c r="G101" s="19" t="n">
        <v>0</v>
      </c>
    </row>
    <row r="102" customFormat="false" ht="15" hidden="false" customHeight="false" outlineLevel="0" collapsed="false">
      <c r="A102" s="19" t="n">
        <v>141669</v>
      </c>
      <c r="B102" s="19" t="n">
        <v>9786.9</v>
      </c>
      <c r="C102" s="19" t="n">
        <v>9786.9</v>
      </c>
      <c r="D102" s="19" t="n">
        <v>0</v>
      </c>
      <c r="E102" s="19"/>
      <c r="F102" s="20" t="b">
        <f aca="false">FALSE()</f>
        <v>0</v>
      </c>
      <c r="G102" s="19" t="n">
        <v>0</v>
      </c>
    </row>
    <row r="103" customFormat="false" ht="15" hidden="false" customHeight="false" outlineLevel="0" collapsed="false">
      <c r="A103" s="19" t="n">
        <v>143674</v>
      </c>
      <c r="B103" s="19" t="n">
        <v>38849.05</v>
      </c>
      <c r="C103" s="19" t="n">
        <v>38849.05</v>
      </c>
      <c r="D103" s="19" t="n">
        <v>0</v>
      </c>
      <c r="E103" s="19"/>
      <c r="F103" s="20" t="b">
        <f aca="false">FALSE()</f>
        <v>0</v>
      </c>
      <c r="G103" s="19" t="n">
        <v>0</v>
      </c>
    </row>
    <row r="104" customFormat="false" ht="15" hidden="false" customHeight="false" outlineLevel="0" collapsed="false">
      <c r="A104" s="19" t="n">
        <v>145682</v>
      </c>
      <c r="B104" s="19" t="n">
        <v>3474.64</v>
      </c>
      <c r="C104" s="19" t="n">
        <v>3474.64</v>
      </c>
      <c r="D104" s="19" t="n">
        <v>0</v>
      </c>
      <c r="E104" s="19"/>
      <c r="F104" s="20" t="b">
        <f aca="false">FALSE()</f>
        <v>0</v>
      </c>
      <c r="G104" s="19" t="n">
        <v>0</v>
      </c>
    </row>
    <row r="105" customFormat="false" ht="15" hidden="false" customHeight="false" outlineLevel="0" collapsed="false">
      <c r="A105" s="19" t="n">
        <v>147824</v>
      </c>
      <c r="B105" s="19" t="n">
        <v>8725.81</v>
      </c>
      <c r="C105" s="19" t="n">
        <v>8725.81</v>
      </c>
      <c r="D105" s="19" t="n">
        <v>0</v>
      </c>
      <c r="E105" s="19"/>
      <c r="F105" s="20" t="b">
        <f aca="false">FALSE()</f>
        <v>0</v>
      </c>
      <c r="G105" s="19" t="n">
        <v>0</v>
      </c>
    </row>
    <row r="106" customFormat="false" ht="15" hidden="false" customHeight="false" outlineLevel="0" collapsed="false">
      <c r="A106" s="19" t="n">
        <v>149755</v>
      </c>
      <c r="B106" s="19" t="n">
        <v>10199.61</v>
      </c>
      <c r="C106" s="19" t="n">
        <v>10199.61</v>
      </c>
      <c r="D106" s="19" t="n">
        <v>0</v>
      </c>
      <c r="E106" s="19"/>
      <c r="F106" s="20" t="b">
        <f aca="false">FALSE()</f>
        <v>0</v>
      </c>
      <c r="G106" s="19" t="n">
        <v>0</v>
      </c>
    </row>
    <row r="107" customFormat="false" ht="15" hidden="false" customHeight="false" outlineLevel="0" collapsed="false">
      <c r="A107" s="19" t="n">
        <v>150973</v>
      </c>
      <c r="B107" s="19" t="n">
        <v>14089.89</v>
      </c>
      <c r="C107" s="19" t="n">
        <v>14089.89</v>
      </c>
      <c r="D107" s="19" t="n">
        <v>0</v>
      </c>
      <c r="E107" s="19"/>
      <c r="F107" s="20" t="b">
        <f aca="false">FALSE()</f>
        <v>0</v>
      </c>
      <c r="G107" s="19" t="n">
        <v>0</v>
      </c>
    </row>
    <row r="108" customFormat="false" ht="15" hidden="false" customHeight="false" outlineLevel="0" collapsed="false">
      <c r="A108" s="19" t="n">
        <v>152109</v>
      </c>
      <c r="B108" s="19" t="n">
        <v>21134</v>
      </c>
      <c r="C108" s="19" t="n">
        <v>21134</v>
      </c>
      <c r="D108" s="19" t="n">
        <v>0</v>
      </c>
      <c r="E108" s="19"/>
      <c r="F108" s="20" t="b">
        <f aca="false">FALSE()</f>
        <v>0</v>
      </c>
      <c r="G108" s="19" t="n">
        <v>0</v>
      </c>
    </row>
    <row r="109" customFormat="false" ht="15" hidden="false" customHeight="false" outlineLevel="0" collapsed="false">
      <c r="A109" s="19" t="n">
        <v>153302</v>
      </c>
      <c r="B109" s="19" t="n">
        <v>1435.28</v>
      </c>
      <c r="C109" s="19" t="n">
        <v>1435.28</v>
      </c>
      <c r="D109" s="19" t="n">
        <v>0</v>
      </c>
      <c r="E109" s="19"/>
      <c r="F109" s="20" t="b">
        <f aca="false">FALSE()</f>
        <v>0</v>
      </c>
      <c r="G109" s="19" t="n">
        <v>0</v>
      </c>
    </row>
    <row r="110" customFormat="false" ht="15" hidden="false" customHeight="false" outlineLevel="0" collapsed="false">
      <c r="A110" s="19" t="n">
        <v>154477</v>
      </c>
      <c r="B110" s="19" t="n">
        <v>29703.11</v>
      </c>
      <c r="C110" s="19" t="n">
        <v>29703.11</v>
      </c>
      <c r="D110" s="19" t="n">
        <v>0</v>
      </c>
      <c r="E110" s="19"/>
      <c r="F110" s="20" t="b">
        <f aca="false">FALSE()</f>
        <v>0</v>
      </c>
      <c r="G110" s="19" t="n">
        <v>0</v>
      </c>
    </row>
    <row r="111" customFormat="false" ht="15" hidden="false" customHeight="false" outlineLevel="0" collapsed="false">
      <c r="A111" s="19" t="n">
        <v>155603</v>
      </c>
      <c r="B111" s="19" t="n">
        <v>4881.37</v>
      </c>
      <c r="C111" s="19" t="n">
        <v>4881.37</v>
      </c>
      <c r="D111" s="19" t="n">
        <v>0</v>
      </c>
      <c r="E111" s="19"/>
      <c r="F111" s="20" t="b">
        <f aca="false">FALSE()</f>
        <v>0</v>
      </c>
      <c r="G111" s="19" t="n">
        <v>0</v>
      </c>
    </row>
    <row r="112" customFormat="false" ht="15" hidden="false" customHeight="false" outlineLevel="0" collapsed="false">
      <c r="A112" s="19" t="n">
        <v>156714</v>
      </c>
      <c r="B112" s="19" t="n">
        <v>16132.23</v>
      </c>
      <c r="C112" s="19" t="n">
        <v>16132.23</v>
      </c>
      <c r="D112" s="19" t="n">
        <v>0</v>
      </c>
      <c r="E112" s="19"/>
      <c r="F112" s="20" t="b">
        <f aca="false">FALSE()</f>
        <v>0</v>
      </c>
      <c r="G112" s="19" t="n">
        <v>0</v>
      </c>
    </row>
    <row r="113" customFormat="false" ht="15" hidden="false" customHeight="false" outlineLevel="0" collapsed="false">
      <c r="A113" s="19" t="n">
        <v>157807</v>
      </c>
      <c r="B113" s="19" t="n">
        <v>2090.28</v>
      </c>
      <c r="C113" s="19" t="n">
        <v>2090.28</v>
      </c>
      <c r="D113" s="19" t="n">
        <v>0</v>
      </c>
      <c r="E113" s="19"/>
      <c r="F113" s="20" t="b">
        <f aca="false">FALSE()</f>
        <v>0</v>
      </c>
      <c r="G113" s="19" t="n">
        <v>0</v>
      </c>
    </row>
    <row r="114" customFormat="false" ht="15" hidden="false" customHeight="false" outlineLevel="0" collapsed="false">
      <c r="A114" s="19" t="n">
        <v>158940</v>
      </c>
      <c r="B114" s="19" t="n">
        <v>71488.81</v>
      </c>
      <c r="C114" s="19" t="n">
        <v>71488.81</v>
      </c>
      <c r="D114" s="19" t="n">
        <v>0</v>
      </c>
      <c r="E114" s="19"/>
      <c r="F114" s="20" t="b">
        <f aca="false">FALSE()</f>
        <v>0</v>
      </c>
      <c r="G114" s="19" t="n">
        <v>0</v>
      </c>
    </row>
    <row r="115" customFormat="false" ht="15" hidden="false" customHeight="false" outlineLevel="0" collapsed="false">
      <c r="A115" s="19" t="n">
        <v>160022</v>
      </c>
      <c r="B115" s="19" t="n">
        <v>1379.7</v>
      </c>
      <c r="C115" s="19" t="n">
        <v>1379.7</v>
      </c>
      <c r="D115" s="19" t="n">
        <v>0</v>
      </c>
      <c r="E115" s="19"/>
      <c r="F115" s="20" t="b">
        <f aca="false">FALSE()</f>
        <v>0</v>
      </c>
      <c r="G115" s="19" t="n">
        <v>0</v>
      </c>
    </row>
    <row r="116" customFormat="false" ht="15" hidden="false" customHeight="false" outlineLevel="0" collapsed="false">
      <c r="A116" s="19" t="n">
        <v>161141</v>
      </c>
      <c r="B116" s="19" t="n">
        <v>37568.02</v>
      </c>
      <c r="C116" s="19" t="n">
        <v>37568.02</v>
      </c>
      <c r="D116" s="19" t="n">
        <v>0</v>
      </c>
      <c r="E116" s="19"/>
      <c r="F116" s="20" t="b">
        <f aca="false">FALSE()</f>
        <v>0</v>
      </c>
      <c r="G116" s="19" t="n">
        <v>0</v>
      </c>
    </row>
    <row r="117" customFormat="false" ht="15" hidden="false" customHeight="false" outlineLevel="0" collapsed="false">
      <c r="A117" s="19" t="n">
        <v>162316</v>
      </c>
      <c r="B117" s="19" t="n">
        <v>3169.28</v>
      </c>
      <c r="C117" s="19" t="n">
        <v>3169.28</v>
      </c>
      <c r="D117" s="19" t="n">
        <v>0</v>
      </c>
      <c r="E117" s="19"/>
      <c r="F117" s="20" t="b">
        <f aca="false">FALSE()</f>
        <v>0</v>
      </c>
      <c r="G117" s="19" t="n">
        <v>0</v>
      </c>
    </row>
    <row r="118" customFormat="false" ht="15" hidden="false" customHeight="false" outlineLevel="0" collapsed="false">
      <c r="A118" s="19" t="n">
        <v>163405</v>
      </c>
      <c r="B118" s="19" t="n">
        <v>5007.02</v>
      </c>
      <c r="C118" s="19" t="n">
        <v>5007.02</v>
      </c>
      <c r="D118" s="19" t="n">
        <v>0</v>
      </c>
      <c r="E118" s="19"/>
      <c r="F118" s="20" t="b">
        <f aca="false">FALSE()</f>
        <v>0</v>
      </c>
      <c r="G118" s="19" t="n">
        <v>0</v>
      </c>
    </row>
    <row r="119" customFormat="false" ht="15" hidden="false" customHeight="false" outlineLevel="0" collapsed="false">
      <c r="A119" s="19" t="n">
        <v>164560</v>
      </c>
      <c r="B119" s="19" t="n">
        <v>3802.7</v>
      </c>
      <c r="C119" s="19" t="n">
        <v>3802.7</v>
      </c>
      <c r="D119" s="19" t="n">
        <v>0</v>
      </c>
      <c r="E119" s="19"/>
      <c r="F119" s="20" t="b">
        <f aca="false">FALSE()</f>
        <v>0</v>
      </c>
      <c r="G119" s="19" t="n">
        <v>0</v>
      </c>
    </row>
    <row r="120" customFormat="false" ht="15" hidden="false" customHeight="false" outlineLevel="0" collapsed="false">
      <c r="A120" s="19" t="n">
        <v>165669</v>
      </c>
      <c r="B120" s="19" t="n">
        <v>9103.02</v>
      </c>
      <c r="C120" s="19" t="n">
        <v>9103.02</v>
      </c>
      <c r="D120" s="19" t="n">
        <v>0</v>
      </c>
      <c r="E120" s="19"/>
      <c r="F120" s="20" t="b">
        <f aca="false">FALSE()</f>
        <v>0</v>
      </c>
      <c r="G120" s="19" t="n">
        <v>0</v>
      </c>
    </row>
    <row r="121" customFormat="false" ht="15" hidden="false" customHeight="false" outlineLevel="0" collapsed="false">
      <c r="A121" s="19" t="n">
        <v>166791</v>
      </c>
      <c r="B121" s="19" t="n">
        <v>29676.1</v>
      </c>
      <c r="C121" s="19" t="n">
        <v>29676.1</v>
      </c>
      <c r="D121" s="19" t="n">
        <v>0</v>
      </c>
      <c r="E121" s="19"/>
      <c r="F121" s="20" t="b">
        <f aca="false">FALSE()</f>
        <v>0</v>
      </c>
      <c r="G121" s="19" t="n">
        <v>0</v>
      </c>
    </row>
    <row r="122" customFormat="false" ht="15" hidden="false" customHeight="false" outlineLevel="0" collapsed="false">
      <c r="A122" s="19" t="n">
        <v>167925</v>
      </c>
      <c r="B122" s="19" t="n">
        <v>18846.89</v>
      </c>
      <c r="C122" s="19" t="n">
        <v>18846.89</v>
      </c>
      <c r="D122" s="19" t="n">
        <v>0</v>
      </c>
      <c r="E122" s="19"/>
      <c r="F122" s="20" t="b">
        <f aca="false">FALSE()</f>
        <v>0</v>
      </c>
      <c r="G122" s="19" t="n">
        <v>0</v>
      </c>
    </row>
    <row r="123" customFormat="false" ht="15" hidden="false" customHeight="false" outlineLevel="0" collapsed="false">
      <c r="A123" s="19" t="n">
        <v>169033</v>
      </c>
      <c r="B123" s="19" t="n">
        <v>13414.17</v>
      </c>
      <c r="C123" s="19" t="n">
        <v>13414.17</v>
      </c>
      <c r="D123" s="19" t="n">
        <v>0</v>
      </c>
      <c r="E123" s="19"/>
      <c r="F123" s="20" t="b">
        <f aca="false">FALSE()</f>
        <v>0</v>
      </c>
      <c r="G123" s="19" t="n">
        <v>0</v>
      </c>
    </row>
    <row r="124" customFormat="false" ht="15" hidden="false" customHeight="false" outlineLevel="0" collapsed="false">
      <c r="A124" s="19" t="n">
        <v>170240</v>
      </c>
      <c r="B124" s="19" t="n">
        <v>5420.53</v>
      </c>
      <c r="C124" s="19" t="n">
        <v>5420.53</v>
      </c>
      <c r="D124" s="19" t="n">
        <v>0</v>
      </c>
      <c r="E124" s="19"/>
      <c r="F124" s="20" t="b">
        <f aca="false">FALSE()</f>
        <v>0</v>
      </c>
      <c r="G124" s="19" t="n">
        <v>0</v>
      </c>
    </row>
    <row r="125" customFormat="false" ht="15" hidden="false" customHeight="false" outlineLevel="0" collapsed="false">
      <c r="A125" s="19" t="n">
        <v>171337</v>
      </c>
      <c r="B125" s="19" t="n">
        <v>3571.2</v>
      </c>
      <c r="C125" s="19" t="n">
        <v>3571.2</v>
      </c>
      <c r="D125" s="19" t="n">
        <v>0</v>
      </c>
      <c r="E125" s="19"/>
      <c r="F125" s="20" t="b">
        <f aca="false">FALSE()</f>
        <v>0</v>
      </c>
      <c r="G125" s="19" t="n">
        <v>0</v>
      </c>
    </row>
    <row r="126" customFormat="false" ht="15" hidden="false" customHeight="false" outlineLevel="0" collapsed="false">
      <c r="A126" s="19" t="n">
        <v>172517</v>
      </c>
      <c r="B126" s="19" t="n">
        <v>52602.6</v>
      </c>
      <c r="C126" s="19" t="n">
        <v>52602.6</v>
      </c>
      <c r="D126" s="19" t="n">
        <v>0</v>
      </c>
      <c r="E126" s="19"/>
      <c r="F126" s="20" t="b">
        <f aca="false">FALSE()</f>
        <v>0</v>
      </c>
      <c r="G126" s="19" t="n">
        <v>0</v>
      </c>
    </row>
    <row r="127" customFormat="false" ht="15" hidden="false" customHeight="false" outlineLevel="0" collapsed="false">
      <c r="A127" s="19" t="n">
        <v>173628</v>
      </c>
      <c r="B127" s="19" t="n">
        <v>1744.25</v>
      </c>
      <c r="C127" s="19" t="n">
        <v>1744.25</v>
      </c>
      <c r="D127" s="19" t="n">
        <v>0</v>
      </c>
      <c r="E127" s="19"/>
      <c r="F127" s="20" t="b">
        <f aca="false">FALSE()</f>
        <v>0</v>
      </c>
      <c r="G127" s="19" t="n">
        <v>0</v>
      </c>
    </row>
    <row r="128" customFormat="false" ht="15" hidden="false" customHeight="false" outlineLevel="0" collapsed="false">
      <c r="A128" s="19" t="n">
        <v>174699</v>
      </c>
      <c r="B128" s="19" t="n">
        <v>21378.44</v>
      </c>
      <c r="C128" s="19" t="n">
        <v>21378.44</v>
      </c>
      <c r="D128" s="19" t="n">
        <v>0</v>
      </c>
      <c r="E128" s="19"/>
      <c r="F128" s="20" t="b">
        <f aca="false">FALSE()</f>
        <v>0</v>
      </c>
      <c r="G128" s="19" t="n">
        <v>0</v>
      </c>
    </row>
    <row r="129" customFormat="false" ht="15" hidden="false" customHeight="false" outlineLevel="0" collapsed="false">
      <c r="A129" s="19" t="n">
        <v>175792</v>
      </c>
      <c r="B129" s="19" t="n">
        <v>13002.81</v>
      </c>
      <c r="C129" s="19" t="n">
        <v>13002.81</v>
      </c>
      <c r="D129" s="19" t="n">
        <v>0</v>
      </c>
      <c r="E129" s="19"/>
      <c r="F129" s="20" t="b">
        <f aca="false">FALSE()</f>
        <v>0</v>
      </c>
      <c r="G129" s="19" t="n">
        <v>0</v>
      </c>
    </row>
    <row r="130" customFormat="false" ht="15" hidden="false" customHeight="false" outlineLevel="0" collapsed="false">
      <c r="A130" s="19" t="n">
        <v>176926</v>
      </c>
      <c r="B130" s="19" t="n">
        <v>3322.87</v>
      </c>
      <c r="C130" s="19" t="n">
        <v>3322.87</v>
      </c>
      <c r="D130" s="19" t="n">
        <v>0</v>
      </c>
      <c r="E130" s="19"/>
      <c r="F130" s="20" t="b">
        <f aca="false">FALSE()</f>
        <v>0</v>
      </c>
      <c r="G130" s="19" t="n">
        <v>0</v>
      </c>
    </row>
    <row r="131" customFormat="false" ht="15" hidden="false" customHeight="false" outlineLevel="0" collapsed="false">
      <c r="A131" s="19" t="n">
        <v>178135</v>
      </c>
      <c r="B131" s="19" t="n">
        <v>4069.3</v>
      </c>
      <c r="C131" s="19" t="n">
        <v>4069.3</v>
      </c>
      <c r="D131" s="19" t="n">
        <v>0</v>
      </c>
      <c r="E131" s="19"/>
      <c r="F131" s="20" t="b">
        <f aca="false">FALSE()</f>
        <v>0</v>
      </c>
      <c r="G131" s="19" t="n">
        <v>0</v>
      </c>
    </row>
    <row r="132" customFormat="false" ht="15" hidden="false" customHeight="false" outlineLevel="0" collapsed="false">
      <c r="A132" s="19" t="n">
        <v>179259</v>
      </c>
      <c r="B132" s="19" t="n">
        <v>38303.52</v>
      </c>
      <c r="C132" s="19" t="n">
        <v>38303.52</v>
      </c>
      <c r="D132" s="19" t="n">
        <v>0</v>
      </c>
      <c r="E132" s="19"/>
      <c r="F132" s="20" t="b">
        <f aca="false">FALSE()</f>
        <v>0</v>
      </c>
      <c r="G132" s="19" t="n">
        <v>0</v>
      </c>
    </row>
    <row r="133" customFormat="false" ht="15" hidden="false" customHeight="false" outlineLevel="0" collapsed="false">
      <c r="A133" s="19" t="n">
        <v>180447</v>
      </c>
      <c r="B133" s="19" t="n">
        <v>2080.69</v>
      </c>
      <c r="C133" s="19" t="n">
        <v>2080.69</v>
      </c>
      <c r="D133" s="19" t="n">
        <v>0</v>
      </c>
      <c r="E133" s="19"/>
      <c r="F133" s="20" t="b">
        <f aca="false">FALSE()</f>
        <v>0</v>
      </c>
      <c r="G133" s="19" t="n">
        <v>0</v>
      </c>
    </row>
    <row r="134" customFormat="false" ht="15" hidden="false" customHeight="false" outlineLevel="0" collapsed="false">
      <c r="A134" s="19" t="n">
        <v>181565</v>
      </c>
      <c r="B134" s="19" t="n">
        <v>98735.03</v>
      </c>
      <c r="C134" s="19" t="n">
        <v>98735.03</v>
      </c>
      <c r="D134" s="19" t="n">
        <v>0</v>
      </c>
      <c r="E134" s="19"/>
      <c r="F134" s="20" t="b">
        <f aca="false">FALSE()</f>
        <v>0</v>
      </c>
      <c r="G134" s="19" t="n">
        <v>0</v>
      </c>
    </row>
    <row r="135" customFormat="false" ht="15" hidden="false" customHeight="false" outlineLevel="0" collapsed="false">
      <c r="A135" s="19" t="n">
        <v>182652</v>
      </c>
      <c r="B135" s="19" t="n">
        <v>14401.04</v>
      </c>
      <c r="C135" s="19" t="n">
        <v>14401.04</v>
      </c>
      <c r="D135" s="19" t="n">
        <v>0</v>
      </c>
      <c r="E135" s="19"/>
      <c r="F135" s="20" t="b">
        <f aca="false">FALSE()</f>
        <v>0</v>
      </c>
      <c r="G135" s="19" t="n">
        <v>0</v>
      </c>
    </row>
    <row r="136" customFormat="false" ht="15" hidden="false" customHeight="false" outlineLevel="0" collapsed="false">
      <c r="A136" s="19" t="n">
        <v>183803</v>
      </c>
      <c r="B136" s="19" t="n">
        <v>27653.82</v>
      </c>
      <c r="C136" s="19" t="n">
        <v>27653.82</v>
      </c>
      <c r="D136" s="19" t="n">
        <v>0</v>
      </c>
      <c r="E136" s="19"/>
      <c r="F136" s="20" t="b">
        <f aca="false">FALSE()</f>
        <v>0</v>
      </c>
      <c r="G136" s="19" t="n">
        <v>0</v>
      </c>
    </row>
    <row r="137" customFormat="false" ht="15" hidden="false" customHeight="false" outlineLevel="0" collapsed="false">
      <c r="A137" s="19" t="n">
        <v>184955</v>
      </c>
      <c r="B137" s="19" t="n">
        <v>11148.76</v>
      </c>
      <c r="C137" s="19" t="n">
        <v>11148.76</v>
      </c>
      <c r="D137" s="19" t="n">
        <v>0</v>
      </c>
      <c r="E137" s="19"/>
      <c r="F137" s="20" t="b">
        <f aca="false">FALSE()</f>
        <v>0</v>
      </c>
      <c r="G137" s="19" t="n">
        <v>0</v>
      </c>
    </row>
    <row r="138" customFormat="false" ht="15" hidden="false" customHeight="false" outlineLevel="0" collapsed="false">
      <c r="A138" s="19" t="n">
        <v>186169</v>
      </c>
      <c r="B138" s="19" t="n">
        <v>8011.52</v>
      </c>
      <c r="C138" s="19" t="n">
        <v>8011.52</v>
      </c>
      <c r="D138" s="19" t="n">
        <v>0</v>
      </c>
      <c r="E138" s="19"/>
      <c r="F138" s="20" t="b">
        <f aca="false">FALSE()</f>
        <v>0</v>
      </c>
      <c r="G138" s="19" t="n">
        <v>0</v>
      </c>
    </row>
    <row r="139" customFormat="false" ht="15" hidden="false" customHeight="false" outlineLevel="0" collapsed="false">
      <c r="A139" s="19" t="n">
        <v>187364</v>
      </c>
      <c r="B139" s="19" t="n">
        <v>15180.42</v>
      </c>
      <c r="C139" s="19" t="n">
        <v>15180.42</v>
      </c>
      <c r="D139" s="19" t="n">
        <v>0</v>
      </c>
      <c r="E139" s="19"/>
      <c r="F139" s="20" t="b">
        <f aca="false">FALSE()</f>
        <v>0</v>
      </c>
      <c r="G139" s="19" t="n">
        <v>0</v>
      </c>
    </row>
    <row r="140" customFormat="false" ht="15" hidden="false" customHeight="false" outlineLevel="0" collapsed="false">
      <c r="A140" s="19" t="n">
        <v>188508</v>
      </c>
      <c r="B140" s="19" t="n">
        <v>81389.05</v>
      </c>
      <c r="C140" s="19" t="n">
        <v>81389.05</v>
      </c>
      <c r="D140" s="19" t="n">
        <v>0</v>
      </c>
      <c r="E140" s="19"/>
      <c r="F140" s="20" t="b">
        <f aca="false">FALSE()</f>
        <v>0</v>
      </c>
      <c r="G140" s="19" t="n">
        <v>0</v>
      </c>
    </row>
    <row r="141" customFormat="false" ht="15" hidden="false" customHeight="false" outlineLevel="0" collapsed="false">
      <c r="A141" s="19" t="n">
        <v>189754</v>
      </c>
      <c r="B141" s="19" t="n">
        <v>5379.72</v>
      </c>
      <c r="C141" s="19" t="n">
        <v>5379.72</v>
      </c>
      <c r="D141" s="19" t="n">
        <v>0</v>
      </c>
      <c r="E141" s="19"/>
      <c r="F141" s="20" t="b">
        <f aca="false">FALSE()</f>
        <v>0</v>
      </c>
      <c r="G141" s="19" t="n">
        <v>0</v>
      </c>
    </row>
    <row r="142" customFormat="false" ht="15" hidden="false" customHeight="false" outlineLevel="0" collapsed="false">
      <c r="A142" s="19" t="n">
        <v>190914</v>
      </c>
      <c r="B142" s="19" t="n">
        <v>1896.78</v>
      </c>
      <c r="C142" s="19" t="n">
        <v>1896.78</v>
      </c>
      <c r="D142" s="19" t="n">
        <v>0</v>
      </c>
      <c r="E142" s="19"/>
      <c r="F142" s="20" t="b">
        <f aca="false">FALSE()</f>
        <v>0</v>
      </c>
      <c r="G142" s="19" t="n">
        <v>0</v>
      </c>
    </row>
    <row r="143" customFormat="false" ht="15" hidden="false" customHeight="false" outlineLevel="0" collapsed="false">
      <c r="A143" s="19" t="n">
        <v>192056</v>
      </c>
      <c r="B143" s="19" t="n">
        <v>1098.97</v>
      </c>
      <c r="C143" s="19" t="n">
        <v>1098.97</v>
      </c>
      <c r="D143" s="19" t="n">
        <v>0</v>
      </c>
      <c r="E143" s="19"/>
      <c r="F143" s="20" t="b">
        <f aca="false">FALSE()</f>
        <v>0</v>
      </c>
      <c r="G143" s="19" t="n">
        <v>0</v>
      </c>
    </row>
    <row r="144" customFormat="false" ht="15" hidden="false" customHeight="false" outlineLevel="0" collapsed="false">
      <c r="A144" s="19" t="n">
        <v>193198</v>
      </c>
      <c r="B144" s="19" t="n">
        <v>9964.62</v>
      </c>
      <c r="C144" s="19" t="n">
        <v>9964.62</v>
      </c>
      <c r="D144" s="19" t="n">
        <v>0</v>
      </c>
      <c r="E144" s="19"/>
      <c r="F144" s="20" t="b">
        <f aca="false">FALSE()</f>
        <v>0</v>
      </c>
      <c r="G144" s="19" t="n">
        <v>0</v>
      </c>
    </row>
    <row r="145" customFormat="false" ht="15" hidden="false" customHeight="false" outlineLevel="0" collapsed="false">
      <c r="A145" s="19" t="n">
        <v>194411</v>
      </c>
      <c r="B145" s="19" t="n">
        <v>41597.85</v>
      </c>
      <c r="C145" s="19" t="n">
        <v>41597.85</v>
      </c>
      <c r="D145" s="19" t="n">
        <v>0</v>
      </c>
      <c r="E145" s="19"/>
      <c r="F145" s="20" t="b">
        <f aca="false">FALSE()</f>
        <v>0</v>
      </c>
      <c r="G145" s="19" t="n">
        <v>0</v>
      </c>
    </row>
    <row r="146" customFormat="false" ht="15" hidden="false" customHeight="false" outlineLevel="0" collapsed="false">
      <c r="A146" s="19" t="n">
        <v>195589</v>
      </c>
      <c r="B146" s="19" t="n">
        <v>125766.6</v>
      </c>
      <c r="C146" s="19" t="n">
        <v>125766.6</v>
      </c>
      <c r="D146" s="19" t="n">
        <v>0</v>
      </c>
      <c r="E146" s="19"/>
      <c r="F146" s="20" t="b">
        <f aca="false">FALSE()</f>
        <v>0</v>
      </c>
      <c r="G146" s="19" t="n">
        <v>0</v>
      </c>
    </row>
    <row r="147" customFormat="false" ht="15" hidden="false" customHeight="false" outlineLevel="0" collapsed="false">
      <c r="A147" s="19" t="n">
        <v>196711</v>
      </c>
      <c r="B147" s="19" t="n">
        <v>2934.87</v>
      </c>
      <c r="C147" s="19" t="n">
        <v>2934.87</v>
      </c>
      <c r="D147" s="19" t="n">
        <v>0</v>
      </c>
      <c r="E147" s="19"/>
      <c r="F147" s="20" t="b">
        <f aca="false">FALSE()</f>
        <v>0</v>
      </c>
      <c r="G147" s="19" t="n">
        <v>0</v>
      </c>
    </row>
    <row r="148" customFormat="false" ht="15" hidden="false" customHeight="false" outlineLevel="0" collapsed="false">
      <c r="A148" s="19" t="n">
        <v>197859</v>
      </c>
      <c r="B148" s="19" t="n">
        <v>8734.12</v>
      </c>
      <c r="C148" s="19" t="n">
        <v>8734.12</v>
      </c>
      <c r="D148" s="19" t="n">
        <v>0</v>
      </c>
      <c r="E148" s="19"/>
      <c r="F148" s="20" t="b">
        <f aca="false">FALSE()</f>
        <v>0</v>
      </c>
      <c r="G148" s="19" t="n">
        <v>0</v>
      </c>
    </row>
    <row r="149" customFormat="false" ht="15" hidden="false" customHeight="false" outlineLevel="0" collapsed="false">
      <c r="A149" s="19" t="n">
        <v>199055</v>
      </c>
      <c r="B149" s="19" t="n">
        <v>2666.59</v>
      </c>
      <c r="C149" s="19" t="n">
        <v>2666.59</v>
      </c>
      <c r="D149" s="19" t="n">
        <v>0</v>
      </c>
      <c r="E149" s="19"/>
      <c r="F149" s="20" t="b">
        <f aca="false">FALSE()</f>
        <v>0</v>
      </c>
      <c r="G149" s="19" t="n">
        <v>0</v>
      </c>
    </row>
    <row r="150" customFormat="false" ht="15" hidden="false" customHeight="false" outlineLevel="0" collapsed="false">
      <c r="A150" s="19" t="n">
        <v>200214</v>
      </c>
      <c r="B150" s="19" t="n">
        <v>25511.7</v>
      </c>
      <c r="C150" s="19" t="n">
        <v>25511.7</v>
      </c>
      <c r="D150" s="19" t="n">
        <v>0</v>
      </c>
      <c r="E150" s="19"/>
      <c r="F150" s="20" t="b">
        <f aca="false">FALSE()</f>
        <v>0</v>
      </c>
      <c r="G150" s="19" t="n">
        <v>0</v>
      </c>
    </row>
    <row r="151" customFormat="false" ht="15" hidden="false" customHeight="false" outlineLevel="0" collapsed="false">
      <c r="A151" s="19" t="n">
        <v>201376</v>
      </c>
      <c r="B151" s="19" t="n">
        <v>22270.6</v>
      </c>
      <c r="C151" s="19" t="n">
        <v>22270.6</v>
      </c>
      <c r="D151" s="19" t="n">
        <v>0</v>
      </c>
      <c r="E151" s="19"/>
      <c r="F151" s="20" t="b">
        <f aca="false">FALSE()</f>
        <v>0</v>
      </c>
      <c r="G151" s="19" t="n">
        <v>0</v>
      </c>
    </row>
    <row r="152" customFormat="false" ht="15" hidden="false" customHeight="false" outlineLevel="0" collapsed="false">
      <c r="A152" s="19" t="n">
        <v>202545</v>
      </c>
      <c r="B152" s="19" t="n">
        <v>4956.65</v>
      </c>
      <c r="C152" s="19" t="n">
        <v>4956.65</v>
      </c>
      <c r="D152" s="19" t="n">
        <v>0</v>
      </c>
      <c r="E152" s="19"/>
      <c r="F152" s="20" t="b">
        <f aca="false">FALSE()</f>
        <v>0</v>
      </c>
      <c r="G152" s="19" t="n">
        <v>0</v>
      </c>
    </row>
    <row r="153" customFormat="false" ht="15" hidden="false" customHeight="false" outlineLevel="0" collapsed="false">
      <c r="A153" s="19" t="n">
        <v>203646</v>
      </c>
      <c r="B153" s="19" t="n">
        <v>5640.03</v>
      </c>
      <c r="C153" s="19" t="n">
        <v>5640.03</v>
      </c>
      <c r="D153" s="19" t="n">
        <v>0</v>
      </c>
      <c r="E153" s="19"/>
      <c r="F153" s="20" t="b">
        <f aca="false">FALSE()</f>
        <v>0</v>
      </c>
      <c r="G153" s="19" t="n">
        <v>0</v>
      </c>
    </row>
    <row r="154" customFormat="false" ht="15" hidden="false" customHeight="false" outlineLevel="0" collapsed="false">
      <c r="A154" s="19" t="n">
        <v>204779</v>
      </c>
      <c r="B154" s="19" t="n">
        <v>18522.79</v>
      </c>
      <c r="C154" s="19" t="n">
        <v>18522.79</v>
      </c>
      <c r="D154" s="19" t="n">
        <v>0</v>
      </c>
      <c r="E154" s="19"/>
      <c r="F154" s="20" t="b">
        <f aca="false">FALSE()</f>
        <v>0</v>
      </c>
      <c r="G154" s="19" t="n">
        <v>0</v>
      </c>
    </row>
    <row r="155" customFormat="false" ht="15" hidden="false" customHeight="false" outlineLevel="0" collapsed="false">
      <c r="A155" s="19" t="n">
        <v>205897</v>
      </c>
      <c r="B155" s="19" t="n">
        <v>8405.01</v>
      </c>
      <c r="C155" s="19" t="n">
        <v>8405.01</v>
      </c>
      <c r="D155" s="19" t="n">
        <v>0</v>
      </c>
      <c r="E155" s="19"/>
      <c r="F155" s="20" t="b">
        <f aca="false">FALSE()</f>
        <v>0</v>
      </c>
      <c r="G155" s="19" t="n">
        <v>0</v>
      </c>
    </row>
    <row r="156" customFormat="false" ht="15" hidden="false" customHeight="false" outlineLevel="0" collapsed="false">
      <c r="A156" s="19" t="n">
        <v>206981</v>
      </c>
      <c r="B156" s="19" t="n">
        <v>10806.48</v>
      </c>
      <c r="C156" s="19" t="n">
        <v>10806.48</v>
      </c>
      <c r="D156" s="19" t="n">
        <v>0</v>
      </c>
      <c r="E156" s="19"/>
      <c r="F156" s="20" t="b">
        <f aca="false">FALSE()</f>
        <v>0</v>
      </c>
      <c r="G156" s="19" t="n">
        <v>0</v>
      </c>
    </row>
    <row r="157" customFormat="false" ht="15" hidden="false" customHeight="false" outlineLevel="0" collapsed="false">
      <c r="A157" s="19" t="n">
        <v>208022</v>
      </c>
      <c r="B157" s="19" t="n">
        <v>5002.01</v>
      </c>
      <c r="C157" s="19" t="n">
        <v>5002.01</v>
      </c>
      <c r="D157" s="19" t="n">
        <v>0</v>
      </c>
      <c r="E157" s="19"/>
      <c r="F157" s="20" t="b">
        <f aca="false">FALSE()</f>
        <v>0</v>
      </c>
      <c r="G157" s="19" t="n">
        <v>0</v>
      </c>
    </row>
    <row r="158" customFormat="false" ht="15" hidden="false" customHeight="false" outlineLevel="0" collapsed="false">
      <c r="A158" s="19" t="n">
        <v>209118</v>
      </c>
      <c r="B158" s="19" t="n">
        <v>36125.6</v>
      </c>
      <c r="C158" s="19" t="n">
        <v>36125.6</v>
      </c>
      <c r="D158" s="19" t="n">
        <v>0</v>
      </c>
      <c r="E158" s="19"/>
      <c r="F158" s="20" t="b">
        <f aca="false">FALSE()</f>
        <v>0</v>
      </c>
      <c r="G158" s="19" t="n">
        <v>0</v>
      </c>
    </row>
    <row r="159" customFormat="false" ht="15" hidden="false" customHeight="false" outlineLevel="0" collapsed="false">
      <c r="A159" s="19" t="n">
        <v>210260</v>
      </c>
      <c r="B159" s="19" t="n">
        <v>2657.75</v>
      </c>
      <c r="C159" s="19" t="n">
        <v>2657.75</v>
      </c>
      <c r="D159" s="19" t="n">
        <v>0</v>
      </c>
      <c r="E159" s="19"/>
      <c r="F159" s="20" t="b">
        <f aca="false">FALSE()</f>
        <v>0</v>
      </c>
      <c r="G159" s="19" t="n">
        <v>0</v>
      </c>
    </row>
    <row r="160" customFormat="false" ht="15" hidden="false" customHeight="false" outlineLevel="0" collapsed="false">
      <c r="A160" s="19" t="n">
        <v>211422</v>
      </c>
      <c r="B160" s="19" t="n">
        <v>4317.1</v>
      </c>
      <c r="C160" s="19" t="n">
        <v>4317.1</v>
      </c>
      <c r="D160" s="19" t="n">
        <v>0</v>
      </c>
      <c r="E160" s="19"/>
      <c r="F160" s="20" t="b">
        <f aca="false">FALSE()</f>
        <v>0</v>
      </c>
      <c r="G160" s="19" t="n">
        <v>0</v>
      </c>
    </row>
    <row r="161" customFormat="false" ht="15" hidden="false" customHeight="false" outlineLevel="0" collapsed="false">
      <c r="A161" s="19" t="n">
        <v>212523</v>
      </c>
      <c r="B161" s="19" t="n">
        <v>9686.62</v>
      </c>
      <c r="C161" s="19" t="n">
        <v>9686.62</v>
      </c>
      <c r="D161" s="19" t="n">
        <v>0</v>
      </c>
      <c r="E161" s="19"/>
      <c r="F161" s="20" t="b">
        <f aca="false">FALSE()</f>
        <v>0</v>
      </c>
      <c r="G161" s="19" t="n">
        <v>0</v>
      </c>
    </row>
    <row r="162" customFormat="false" ht="15" hidden="false" customHeight="false" outlineLevel="0" collapsed="false">
      <c r="A162" s="19" t="n">
        <v>213611</v>
      </c>
      <c r="B162" s="19" t="n">
        <v>28766.29</v>
      </c>
      <c r="C162" s="19" t="n">
        <v>28766.29</v>
      </c>
      <c r="D162" s="19" t="n">
        <v>0</v>
      </c>
      <c r="E162" s="19"/>
      <c r="F162" s="20" t="b">
        <f aca="false">FALSE()</f>
        <v>0</v>
      </c>
      <c r="G162" s="19" t="n">
        <v>0</v>
      </c>
    </row>
    <row r="163" customFormat="false" ht="15" hidden="false" customHeight="false" outlineLevel="0" collapsed="false">
      <c r="A163" s="19" t="n">
        <v>214559</v>
      </c>
      <c r="B163" s="19" t="n">
        <v>65763.42</v>
      </c>
      <c r="C163" s="19" t="n">
        <v>65763.42</v>
      </c>
      <c r="D163" s="19" t="n">
        <v>0</v>
      </c>
      <c r="E163" s="19"/>
      <c r="F163" s="20" t="b">
        <f aca="false">FALSE()</f>
        <v>0</v>
      </c>
      <c r="G163" s="19" t="n">
        <v>0</v>
      </c>
    </row>
    <row r="164" customFormat="false" ht="15" hidden="false" customHeight="false" outlineLevel="0" collapsed="false">
      <c r="A164" s="19" t="n">
        <v>215749</v>
      </c>
      <c r="B164" s="19" t="n">
        <v>7345.42</v>
      </c>
      <c r="C164" s="19" t="n">
        <v>7345.42</v>
      </c>
      <c r="D164" s="19" t="n">
        <v>0</v>
      </c>
      <c r="E164" s="19"/>
      <c r="F164" s="20" t="b">
        <f aca="false">FALSE()</f>
        <v>0</v>
      </c>
      <c r="G164" s="19" t="n">
        <v>0</v>
      </c>
    </row>
    <row r="165" customFormat="false" ht="15" hidden="false" customHeight="false" outlineLevel="0" collapsed="false">
      <c r="A165" s="19" t="n">
        <v>216908</v>
      </c>
      <c r="B165" s="19" t="n">
        <v>2060.12</v>
      </c>
      <c r="C165" s="19" t="n">
        <v>2060.12</v>
      </c>
      <c r="D165" s="19" t="n">
        <v>0</v>
      </c>
      <c r="E165" s="19"/>
      <c r="F165" s="20" t="b">
        <f aca="false">FALSE()</f>
        <v>0</v>
      </c>
      <c r="G165" s="19" t="n">
        <v>0</v>
      </c>
    </row>
    <row r="166" customFormat="false" ht="15" hidden="false" customHeight="false" outlineLevel="0" collapsed="false">
      <c r="A166" s="19" t="n">
        <v>218028</v>
      </c>
      <c r="B166" s="19" t="n">
        <v>17244.83</v>
      </c>
      <c r="C166" s="19" t="n">
        <v>17244.83</v>
      </c>
      <c r="D166" s="19" t="n">
        <v>0</v>
      </c>
      <c r="E166" s="19"/>
      <c r="F166" s="20" t="b">
        <f aca="false">FALSE()</f>
        <v>0</v>
      </c>
      <c r="G166" s="19" t="n">
        <v>0</v>
      </c>
    </row>
    <row r="167" customFormat="false" ht="15" hidden="false" customHeight="false" outlineLevel="0" collapsed="false">
      <c r="A167" s="19" t="n">
        <v>219141</v>
      </c>
      <c r="B167" s="19" t="n">
        <v>26939.29</v>
      </c>
      <c r="C167" s="19" t="n">
        <v>26939.29</v>
      </c>
      <c r="D167" s="19" t="n">
        <v>0</v>
      </c>
      <c r="E167" s="19"/>
      <c r="F167" s="20" t="b">
        <f aca="false">FALSE()</f>
        <v>0</v>
      </c>
      <c r="G167" s="19" t="n">
        <v>0</v>
      </c>
    </row>
    <row r="168" customFormat="false" ht="15" hidden="false" customHeight="false" outlineLevel="0" collapsed="false">
      <c r="A168" s="19" t="n">
        <v>220285</v>
      </c>
      <c r="B168" s="19" t="n">
        <v>8737.28</v>
      </c>
      <c r="C168" s="19" t="n">
        <v>8737.28</v>
      </c>
      <c r="D168" s="19" t="n">
        <v>0</v>
      </c>
      <c r="E168" s="19"/>
      <c r="F168" s="20" t="b">
        <f aca="false">FALSE()</f>
        <v>0</v>
      </c>
      <c r="G168" s="19" t="n">
        <v>0</v>
      </c>
    </row>
    <row r="169" customFormat="false" ht="15" hidden="false" customHeight="false" outlineLevel="0" collapsed="false">
      <c r="A169" s="19" t="n">
        <v>221353</v>
      </c>
      <c r="B169" s="19" t="n">
        <v>7872.26</v>
      </c>
      <c r="C169" s="19" t="n">
        <v>7872.26</v>
      </c>
      <c r="D169" s="19" t="n">
        <v>0</v>
      </c>
      <c r="E169" s="19"/>
      <c r="F169" s="20" t="b">
        <f aca="false">FALSE()</f>
        <v>0</v>
      </c>
      <c r="G169" s="19" t="n">
        <v>0</v>
      </c>
    </row>
    <row r="170" customFormat="false" ht="15" hidden="false" customHeight="false" outlineLevel="0" collapsed="false">
      <c r="A170" s="19" t="n">
        <v>222558</v>
      </c>
      <c r="B170" s="19" t="n">
        <v>19013.51</v>
      </c>
      <c r="C170" s="19" t="n">
        <v>19013.51</v>
      </c>
      <c r="D170" s="19" t="n">
        <v>0</v>
      </c>
      <c r="E170" s="19"/>
      <c r="F170" s="20" t="b">
        <f aca="false">FALSE()</f>
        <v>0</v>
      </c>
      <c r="G170" s="19" t="n">
        <v>0</v>
      </c>
    </row>
    <row r="171" customFormat="false" ht="15" hidden="false" customHeight="false" outlineLevel="0" collapsed="false">
      <c r="A171" s="19" t="n">
        <v>223722</v>
      </c>
      <c r="B171" s="19" t="n">
        <v>13994.57</v>
      </c>
      <c r="C171" s="19" t="n">
        <v>13994.57</v>
      </c>
      <c r="D171" s="19" t="n">
        <v>0</v>
      </c>
      <c r="E171" s="19"/>
      <c r="F171" s="20" t="b">
        <f aca="false">FALSE()</f>
        <v>0</v>
      </c>
      <c r="G171" s="19" t="n">
        <v>0</v>
      </c>
    </row>
    <row r="172" customFormat="false" ht="15" hidden="false" customHeight="false" outlineLevel="0" collapsed="false">
      <c r="A172" s="19" t="n">
        <v>224840</v>
      </c>
      <c r="B172" s="19" t="n">
        <v>6349.33</v>
      </c>
      <c r="C172" s="19" t="n">
        <v>6349.33</v>
      </c>
      <c r="D172" s="19" t="n">
        <v>0</v>
      </c>
      <c r="E172" s="19"/>
      <c r="F172" s="20" t="b">
        <f aca="false">FALSE()</f>
        <v>0</v>
      </c>
      <c r="G172" s="19" t="n">
        <v>0</v>
      </c>
    </row>
    <row r="173" customFormat="false" ht="15" hidden="false" customHeight="false" outlineLevel="0" collapsed="false">
      <c r="A173" s="19" t="n">
        <v>225987</v>
      </c>
      <c r="B173" s="19" t="n">
        <v>4734.17</v>
      </c>
      <c r="C173" s="19" t="n">
        <v>4734.17</v>
      </c>
      <c r="D173" s="19" t="n">
        <v>0</v>
      </c>
      <c r="E173" s="19"/>
      <c r="F173" s="20" t="b">
        <f aca="false">FALSE()</f>
        <v>0</v>
      </c>
      <c r="G173" s="19" t="n">
        <v>0</v>
      </c>
    </row>
    <row r="174" customFormat="false" ht="15" hidden="false" customHeight="false" outlineLevel="0" collapsed="false">
      <c r="A174" s="19" t="n">
        <v>227220</v>
      </c>
      <c r="B174" s="19" t="n">
        <v>3103.67</v>
      </c>
      <c r="C174" s="19" t="n">
        <v>3103.67</v>
      </c>
      <c r="D174" s="19" t="n">
        <v>0</v>
      </c>
      <c r="E174" s="19"/>
      <c r="F174" s="20" t="b">
        <f aca="false">FALSE()</f>
        <v>0</v>
      </c>
      <c r="G174" s="19" t="n">
        <v>0</v>
      </c>
    </row>
    <row r="175" customFormat="false" ht="15" hidden="false" customHeight="false" outlineLevel="0" collapsed="false">
      <c r="A175" s="19" t="n">
        <v>228389</v>
      </c>
      <c r="B175" s="19" t="n">
        <v>9756.96</v>
      </c>
      <c r="C175" s="19" t="n">
        <v>9756.96</v>
      </c>
      <c r="D175" s="19" t="n">
        <v>0</v>
      </c>
      <c r="E175" s="19"/>
      <c r="F175" s="20" t="b">
        <f aca="false">FALSE()</f>
        <v>0</v>
      </c>
      <c r="G175" s="19" t="n">
        <v>0</v>
      </c>
    </row>
    <row r="176" customFormat="false" ht="15" hidden="false" customHeight="false" outlineLevel="0" collapsed="false">
      <c r="A176" s="19" t="n">
        <v>229508</v>
      </c>
      <c r="B176" s="19" t="n">
        <v>28122.04</v>
      </c>
      <c r="C176" s="19" t="n">
        <v>28122.04</v>
      </c>
      <c r="D176" s="19" t="n">
        <v>0</v>
      </c>
      <c r="E176" s="19"/>
      <c r="F176" s="20" t="b">
        <f aca="false">FALSE()</f>
        <v>0</v>
      </c>
      <c r="G176" s="19" t="n">
        <v>0</v>
      </c>
    </row>
    <row r="177" customFormat="false" ht="15" hidden="false" customHeight="false" outlineLevel="0" collapsed="false">
      <c r="A177" s="19" t="n">
        <v>230714</v>
      </c>
      <c r="B177" s="19" t="n">
        <v>2659.8</v>
      </c>
      <c r="C177" s="19" t="n">
        <v>2659.8</v>
      </c>
      <c r="D177" s="19" t="n">
        <v>0</v>
      </c>
      <c r="E177" s="19"/>
      <c r="F177" s="20" t="b">
        <f aca="false">FALSE()</f>
        <v>0</v>
      </c>
      <c r="G177" s="19" t="n">
        <v>0</v>
      </c>
    </row>
    <row r="178" customFormat="false" ht="15" hidden="false" customHeight="false" outlineLevel="0" collapsed="false">
      <c r="A178" s="19" t="n">
        <v>231830</v>
      </c>
      <c r="B178" s="19" t="n">
        <v>8055.25</v>
      </c>
      <c r="C178" s="19" t="n">
        <v>8055.25</v>
      </c>
      <c r="D178" s="19" t="n">
        <v>0</v>
      </c>
      <c r="E178" s="19"/>
      <c r="F178" s="20" t="b">
        <f aca="false">FALSE()</f>
        <v>0</v>
      </c>
      <c r="G178" s="19" t="n">
        <v>0</v>
      </c>
    </row>
    <row r="179" customFormat="false" ht="15" hidden="false" customHeight="false" outlineLevel="0" collapsed="false">
      <c r="A179" s="19" t="n">
        <v>233000</v>
      </c>
      <c r="B179" s="19" t="n">
        <v>6946.37</v>
      </c>
      <c r="C179" s="19" t="n">
        <v>6946.37</v>
      </c>
      <c r="D179" s="19" t="n">
        <v>0</v>
      </c>
      <c r="E179" s="19"/>
      <c r="F179" s="20" t="b">
        <f aca="false">FALSE()</f>
        <v>0</v>
      </c>
      <c r="G179" s="19" t="n">
        <v>0</v>
      </c>
    </row>
    <row r="180" customFormat="false" ht="15" hidden="false" customHeight="false" outlineLevel="0" collapsed="false">
      <c r="A180" s="19" t="n">
        <v>234129</v>
      </c>
      <c r="B180" s="19" t="n">
        <v>5102.75</v>
      </c>
      <c r="C180" s="19" t="n">
        <v>5102.75</v>
      </c>
      <c r="D180" s="19" t="n">
        <v>0</v>
      </c>
      <c r="E180" s="19"/>
      <c r="F180" s="20" t="b">
        <f aca="false">FALSE()</f>
        <v>0</v>
      </c>
      <c r="G180" s="19" t="n">
        <v>0</v>
      </c>
    </row>
    <row r="181" customFormat="false" ht="15" hidden="false" customHeight="false" outlineLevel="0" collapsed="false">
      <c r="A181" s="19" t="n">
        <v>235265</v>
      </c>
      <c r="B181" s="19" t="n">
        <v>28085.77</v>
      </c>
      <c r="C181" s="19" t="n">
        <v>28085.77</v>
      </c>
      <c r="D181" s="19" t="n">
        <v>0</v>
      </c>
      <c r="E181" s="19"/>
      <c r="F181" s="20" t="b">
        <f aca="false">FALSE()</f>
        <v>0</v>
      </c>
      <c r="G181" s="19" t="n">
        <v>0</v>
      </c>
    </row>
    <row r="182" customFormat="false" ht="15" hidden="false" customHeight="false" outlineLevel="0" collapsed="false">
      <c r="A182" s="19" t="n">
        <v>236411</v>
      </c>
      <c r="B182" s="19" t="n">
        <v>24531.64</v>
      </c>
      <c r="C182" s="19" t="n">
        <v>24531.64</v>
      </c>
      <c r="D182" s="19" t="n">
        <v>0</v>
      </c>
      <c r="E182" s="19"/>
      <c r="F182" s="20" t="b">
        <f aca="false">FALSE()</f>
        <v>0</v>
      </c>
      <c r="G182" s="19" t="n">
        <v>0</v>
      </c>
    </row>
    <row r="183" customFormat="false" ht="15" hidden="false" customHeight="false" outlineLevel="0" collapsed="false">
      <c r="A183" s="19" t="n">
        <v>237498</v>
      </c>
      <c r="B183" s="19" t="n">
        <v>2125.79</v>
      </c>
      <c r="C183" s="19" t="n">
        <v>2125.79</v>
      </c>
      <c r="D183" s="19" t="n">
        <v>0</v>
      </c>
      <c r="E183" s="19"/>
      <c r="F183" s="20" t="b">
        <f aca="false">FALSE()</f>
        <v>0</v>
      </c>
      <c r="G183" s="19" t="n">
        <v>0</v>
      </c>
    </row>
    <row r="184" customFormat="false" ht="15" hidden="false" customHeight="false" outlineLevel="0" collapsed="false">
      <c r="A184" s="19" t="n">
        <v>238688</v>
      </c>
      <c r="B184" s="19" t="n">
        <v>35113.11</v>
      </c>
      <c r="C184" s="19" t="n">
        <v>35113.11</v>
      </c>
      <c r="D184" s="19" t="n">
        <v>0</v>
      </c>
      <c r="E184" s="19"/>
      <c r="F184" s="20" t="b">
        <f aca="false">FALSE()</f>
        <v>0</v>
      </c>
      <c r="G184" s="19" t="n">
        <v>0</v>
      </c>
    </row>
    <row r="185" customFormat="false" ht="15" hidden="false" customHeight="false" outlineLevel="0" collapsed="false">
      <c r="A185" s="19" t="n">
        <v>239810</v>
      </c>
      <c r="B185" s="19" t="n">
        <v>8114.67</v>
      </c>
      <c r="C185" s="19" t="n">
        <v>8114.67</v>
      </c>
      <c r="D185" s="19" t="n">
        <v>0</v>
      </c>
      <c r="E185" s="19"/>
      <c r="F185" s="20" t="b">
        <f aca="false">FALSE()</f>
        <v>0</v>
      </c>
      <c r="G185" s="19" t="n">
        <v>0</v>
      </c>
    </row>
    <row r="186" customFormat="false" ht="15" hidden="false" customHeight="false" outlineLevel="0" collapsed="false">
      <c r="A186" s="19" t="n">
        <v>240960</v>
      </c>
      <c r="B186" s="19" t="n">
        <v>8821.16</v>
      </c>
      <c r="C186" s="19" t="n">
        <v>8821.16</v>
      </c>
      <c r="D186" s="19" t="n">
        <v>0</v>
      </c>
      <c r="E186" s="19"/>
      <c r="F186" s="20" t="b">
        <f aca="false">FALSE()</f>
        <v>0</v>
      </c>
      <c r="G186" s="19" t="n">
        <v>0</v>
      </c>
    </row>
    <row r="187" customFormat="false" ht="15" hidden="false" customHeight="false" outlineLevel="0" collapsed="false">
      <c r="A187" s="19" t="n">
        <v>242166</v>
      </c>
      <c r="B187" s="19" t="n">
        <v>3426.37</v>
      </c>
      <c r="C187" s="19" t="n">
        <v>3426.37</v>
      </c>
      <c r="D187" s="19" t="n">
        <v>0</v>
      </c>
      <c r="E187" s="19"/>
      <c r="F187" s="20" t="b">
        <f aca="false">FALSE()</f>
        <v>0</v>
      </c>
      <c r="G187" s="19" t="n">
        <v>0</v>
      </c>
    </row>
    <row r="188" customFormat="false" ht="15" hidden="false" customHeight="false" outlineLevel="0" collapsed="false">
      <c r="A188" s="19" t="n">
        <v>243425</v>
      </c>
      <c r="B188" s="19" t="n">
        <v>10331.89</v>
      </c>
      <c r="C188" s="19" t="n">
        <v>10331.89</v>
      </c>
      <c r="D188" s="19" t="n">
        <v>0</v>
      </c>
      <c r="E188" s="19"/>
      <c r="F188" s="20" t="b">
        <f aca="false">FALSE()</f>
        <v>0</v>
      </c>
      <c r="G188" s="19" t="n">
        <v>0</v>
      </c>
    </row>
    <row r="189" customFormat="false" ht="15" hidden="false" customHeight="false" outlineLevel="0" collapsed="false">
      <c r="A189" s="19" t="n">
        <v>244537</v>
      </c>
      <c r="B189" s="19" t="n">
        <v>11675.82</v>
      </c>
      <c r="C189" s="19" t="n">
        <v>11675.82</v>
      </c>
      <c r="D189" s="19" t="n">
        <v>0</v>
      </c>
      <c r="E189" s="19"/>
      <c r="F189" s="20" t="b">
        <f aca="false">FALSE()</f>
        <v>0</v>
      </c>
      <c r="G189" s="19" t="n">
        <v>0</v>
      </c>
    </row>
    <row r="190" customFormat="false" ht="15" hidden="false" customHeight="false" outlineLevel="0" collapsed="false">
      <c r="A190" s="19" t="n">
        <v>245665</v>
      </c>
      <c r="B190" s="19" t="n">
        <v>2925.19</v>
      </c>
      <c r="C190" s="19" t="n">
        <v>2925.19</v>
      </c>
      <c r="D190" s="19" t="n">
        <v>0</v>
      </c>
      <c r="E190" s="19"/>
      <c r="F190" s="20" t="b">
        <f aca="false">FALSE()</f>
        <v>0</v>
      </c>
      <c r="G190" s="19" t="n">
        <v>0</v>
      </c>
    </row>
    <row r="191" customFormat="false" ht="15" hidden="false" customHeight="false" outlineLevel="0" collapsed="false">
      <c r="A191" s="19" t="n">
        <v>246783</v>
      </c>
      <c r="B191" s="19" t="n">
        <v>1735.93</v>
      </c>
      <c r="C191" s="19" t="n">
        <v>1735.93</v>
      </c>
      <c r="D191" s="19" t="n">
        <v>0</v>
      </c>
      <c r="E191" s="19"/>
      <c r="F191" s="20" t="b">
        <f aca="false">FALSE()</f>
        <v>0</v>
      </c>
      <c r="G191" s="19" t="n">
        <v>0</v>
      </c>
    </row>
    <row r="192" customFormat="false" ht="15" hidden="false" customHeight="false" outlineLevel="0" collapsed="false">
      <c r="A192" s="19" t="n">
        <v>248017</v>
      </c>
      <c r="B192" s="19" t="n">
        <v>2266.59</v>
      </c>
      <c r="C192" s="19" t="n">
        <v>2266.59</v>
      </c>
      <c r="D192" s="19" t="n">
        <v>0</v>
      </c>
      <c r="E192" s="19"/>
      <c r="F192" s="20" t="b">
        <f aca="false">FALSE()</f>
        <v>0</v>
      </c>
      <c r="G192" s="19" t="n">
        <v>0</v>
      </c>
    </row>
    <row r="193" customFormat="false" ht="15" hidden="false" customHeight="false" outlineLevel="0" collapsed="false">
      <c r="A193" s="19" t="n">
        <v>249121</v>
      </c>
      <c r="B193" s="19" t="n">
        <v>16546.02</v>
      </c>
      <c r="C193" s="19" t="n">
        <v>16546.02</v>
      </c>
      <c r="D193" s="19" t="n">
        <v>0</v>
      </c>
      <c r="E193" s="19"/>
      <c r="F193" s="20" t="b">
        <f aca="false">FALSE()</f>
        <v>0</v>
      </c>
      <c r="G193" s="19" t="n">
        <v>0</v>
      </c>
    </row>
    <row r="194" customFormat="false" ht="15" hidden="false" customHeight="false" outlineLevel="0" collapsed="false">
      <c r="A194" s="19" t="n">
        <v>250331</v>
      </c>
      <c r="B194" s="19" t="n">
        <v>27060.8</v>
      </c>
      <c r="C194" s="19" t="n">
        <v>27060.8</v>
      </c>
      <c r="D194" s="19" t="n">
        <v>0</v>
      </c>
      <c r="E194" s="19"/>
      <c r="F194" s="20" t="b">
        <f aca="false">FALSE()</f>
        <v>0</v>
      </c>
      <c r="G194" s="19" t="n">
        <v>0</v>
      </c>
    </row>
    <row r="195" customFormat="false" ht="15" hidden="false" customHeight="false" outlineLevel="0" collapsed="false">
      <c r="A195" s="19" t="n">
        <v>251507</v>
      </c>
      <c r="B195" s="19" t="n">
        <v>78696.34</v>
      </c>
      <c r="C195" s="19" t="n">
        <v>78696.34</v>
      </c>
      <c r="D195" s="19" t="n">
        <v>0</v>
      </c>
      <c r="E195" s="19"/>
      <c r="F195" s="20" t="b">
        <f aca="false">FALSE()</f>
        <v>0</v>
      </c>
      <c r="G195" s="19" t="n">
        <v>0</v>
      </c>
    </row>
    <row r="196" customFormat="false" ht="15" hidden="false" customHeight="false" outlineLevel="0" collapsed="false">
      <c r="A196" s="19" t="n">
        <v>252717</v>
      </c>
      <c r="B196" s="19" t="n">
        <v>45038.28</v>
      </c>
      <c r="C196" s="19" t="n">
        <v>45038.28</v>
      </c>
      <c r="D196" s="19" t="n">
        <v>0</v>
      </c>
      <c r="E196" s="19"/>
      <c r="F196" s="20" t="b">
        <f aca="false">FALSE()</f>
        <v>0</v>
      </c>
      <c r="G196" s="19" t="n">
        <v>0</v>
      </c>
    </row>
    <row r="197" customFormat="false" ht="15" hidden="false" customHeight="false" outlineLevel="0" collapsed="false">
      <c r="A197" s="19" t="n">
        <v>253821</v>
      </c>
      <c r="B197" s="19" t="n">
        <v>45996</v>
      </c>
      <c r="C197" s="19" t="n">
        <v>45996</v>
      </c>
      <c r="D197" s="19" t="n">
        <v>0</v>
      </c>
      <c r="E197" s="19"/>
      <c r="F197" s="20" t="b">
        <f aca="false">FALSE()</f>
        <v>0</v>
      </c>
      <c r="G197" s="19" t="n">
        <v>0</v>
      </c>
    </row>
    <row r="198" customFormat="false" ht="15" hidden="false" customHeight="false" outlineLevel="0" collapsed="false">
      <c r="A198" s="19" t="n">
        <v>254902</v>
      </c>
      <c r="B198" s="19" t="n">
        <v>1050.7</v>
      </c>
      <c r="C198" s="19" t="n">
        <v>1050.7</v>
      </c>
      <c r="D198" s="19" t="n">
        <v>0</v>
      </c>
      <c r="E198" s="19"/>
      <c r="F198" s="20" t="b">
        <f aca="false">FALSE()</f>
        <v>0</v>
      </c>
      <c r="G198" s="19" t="n">
        <v>0</v>
      </c>
    </row>
    <row r="199" customFormat="false" ht="15" hidden="false" customHeight="false" outlineLevel="0" collapsed="false">
      <c r="A199" s="19" t="n">
        <v>256029</v>
      </c>
      <c r="B199" s="19" t="n">
        <v>6392.24</v>
      </c>
      <c r="C199" s="19" t="n">
        <v>6392.24</v>
      </c>
      <c r="D199" s="19" t="n">
        <v>0</v>
      </c>
      <c r="E199" s="19"/>
      <c r="F199" s="20" t="b">
        <f aca="false">FALSE()</f>
        <v>0</v>
      </c>
      <c r="G199" s="19" t="n">
        <v>0</v>
      </c>
    </row>
    <row r="200" customFormat="false" ht="15" hidden="false" customHeight="false" outlineLevel="0" collapsed="false">
      <c r="A200" s="19" t="n">
        <v>257157</v>
      </c>
      <c r="B200" s="19" t="n">
        <v>7953.86</v>
      </c>
      <c r="C200" s="19" t="n">
        <v>7953.86</v>
      </c>
      <c r="D200" s="19" t="n">
        <v>0</v>
      </c>
      <c r="E200" s="19"/>
      <c r="F200" s="20" t="b">
        <f aca="false">FALSE()</f>
        <v>0</v>
      </c>
      <c r="G200" s="19" t="n">
        <v>0</v>
      </c>
    </row>
    <row r="201" customFormat="false" ht="15" hidden="false" customHeight="false" outlineLevel="0" collapsed="false">
      <c r="A201" s="19" t="n">
        <v>258329</v>
      </c>
      <c r="B201" s="19" t="n">
        <v>474.69</v>
      </c>
      <c r="C201" s="19" t="n">
        <v>474.69</v>
      </c>
      <c r="D201" s="19" t="n">
        <v>0</v>
      </c>
      <c r="E201" s="19"/>
      <c r="F201" s="20" t="b">
        <f aca="false">FALSE()</f>
        <v>0</v>
      </c>
      <c r="G201" s="19" t="n">
        <v>0</v>
      </c>
    </row>
    <row r="202" customFormat="false" ht="15" hidden="false" customHeight="false" outlineLevel="0" collapsed="false">
      <c r="A202" s="19" t="n">
        <v>259452</v>
      </c>
      <c r="B202" s="19" t="n">
        <v>21507.9</v>
      </c>
      <c r="C202" s="19" t="n">
        <v>21507.9</v>
      </c>
      <c r="D202" s="19" t="n">
        <v>0</v>
      </c>
      <c r="E202" s="19"/>
      <c r="F202" s="20" t="b">
        <f aca="false">FALSE()</f>
        <v>0</v>
      </c>
      <c r="G202" s="19" t="n">
        <v>0</v>
      </c>
    </row>
    <row r="203" customFormat="false" ht="15" hidden="false" customHeight="false" outlineLevel="0" collapsed="false">
      <c r="A203" s="19" t="n">
        <v>260480</v>
      </c>
      <c r="B203" s="19" t="n">
        <v>11302.06</v>
      </c>
      <c r="C203" s="19" t="n">
        <v>11302.06</v>
      </c>
      <c r="D203" s="19" t="n">
        <v>0</v>
      </c>
      <c r="E203" s="19"/>
      <c r="F203" s="20" t="b">
        <f aca="false">FALSE()</f>
        <v>0</v>
      </c>
      <c r="G203" s="19" t="n">
        <v>0</v>
      </c>
    </row>
    <row r="204" customFormat="false" ht="15" hidden="false" customHeight="false" outlineLevel="0" collapsed="false">
      <c r="A204" s="19" t="n">
        <v>261648</v>
      </c>
      <c r="B204" s="19" t="n">
        <v>61995.17</v>
      </c>
      <c r="C204" s="19" t="n">
        <v>61995.17</v>
      </c>
      <c r="D204" s="19" t="n">
        <v>0</v>
      </c>
      <c r="E204" s="19"/>
      <c r="F204" s="20" t="b">
        <f aca="false">FALSE()</f>
        <v>0</v>
      </c>
      <c r="G204" s="19" t="n">
        <v>0</v>
      </c>
    </row>
    <row r="205" customFormat="false" ht="15" hidden="false" customHeight="false" outlineLevel="0" collapsed="false">
      <c r="A205" s="19" t="n">
        <v>262749</v>
      </c>
      <c r="B205" s="19" t="n">
        <v>1220.38</v>
      </c>
      <c r="C205" s="19" t="n">
        <v>1220.38</v>
      </c>
      <c r="D205" s="19" t="n">
        <v>0</v>
      </c>
      <c r="E205" s="19"/>
      <c r="F205" s="20" t="b">
        <f aca="false">FALSE()</f>
        <v>0</v>
      </c>
      <c r="G205" s="19" t="n">
        <v>0</v>
      </c>
    </row>
    <row r="206" customFormat="false" ht="15" hidden="false" customHeight="false" outlineLevel="0" collapsed="false">
      <c r="A206" s="19" t="n">
        <v>263882</v>
      </c>
      <c r="B206" s="19" t="n">
        <v>15960.27</v>
      </c>
      <c r="C206" s="19" t="n">
        <v>15960.27</v>
      </c>
      <c r="D206" s="19" t="n">
        <v>0</v>
      </c>
      <c r="E206" s="19"/>
      <c r="F206" s="20" t="b">
        <f aca="false">FALSE()</f>
        <v>0</v>
      </c>
      <c r="G206" s="19" t="n">
        <v>0</v>
      </c>
    </row>
    <row r="207" customFormat="false" ht="15" hidden="false" customHeight="false" outlineLevel="0" collapsed="false">
      <c r="A207" s="19" t="n">
        <v>265049</v>
      </c>
      <c r="B207" s="19" t="n">
        <v>5056.33</v>
      </c>
      <c r="C207" s="19" t="n">
        <v>5056.33</v>
      </c>
      <c r="D207" s="19" t="n">
        <v>0</v>
      </c>
      <c r="E207" s="19"/>
      <c r="F207" s="20" t="b">
        <f aca="false">FALSE()</f>
        <v>0</v>
      </c>
      <c r="G207" s="19" t="n">
        <v>0</v>
      </c>
    </row>
    <row r="208" customFormat="false" ht="15" hidden="false" customHeight="false" outlineLevel="0" collapsed="false">
      <c r="A208" s="19" t="n">
        <v>266203</v>
      </c>
      <c r="B208" s="19" t="n">
        <v>1688.55</v>
      </c>
      <c r="C208" s="19" t="n">
        <v>1688.55</v>
      </c>
      <c r="D208" s="19" t="n">
        <v>0</v>
      </c>
      <c r="E208" s="19"/>
      <c r="F208" s="20" t="b">
        <f aca="false">FALSE()</f>
        <v>0</v>
      </c>
      <c r="G208" s="19" t="n">
        <v>0</v>
      </c>
    </row>
    <row r="209" customFormat="false" ht="15" hidden="false" customHeight="false" outlineLevel="0" collapsed="false">
      <c r="A209" s="19" t="n">
        <v>267349</v>
      </c>
      <c r="B209" s="19" t="n">
        <v>3208.39</v>
      </c>
      <c r="C209" s="19" t="n">
        <v>3208.39</v>
      </c>
      <c r="D209" s="19" t="n">
        <v>0</v>
      </c>
      <c r="E209" s="19"/>
      <c r="F209" s="20" t="b">
        <f aca="false">FALSE()</f>
        <v>0</v>
      </c>
      <c r="G209" s="19" t="n">
        <v>0</v>
      </c>
    </row>
    <row r="210" customFormat="false" ht="15" hidden="false" customHeight="false" outlineLevel="0" collapsed="false">
      <c r="A210" s="19" t="n">
        <v>268542</v>
      </c>
      <c r="B210" s="19" t="n">
        <v>28359.6</v>
      </c>
      <c r="C210" s="19" t="n">
        <v>28359.6</v>
      </c>
      <c r="D210" s="19" t="n">
        <v>0</v>
      </c>
      <c r="E210" s="19"/>
      <c r="F210" s="20" t="b">
        <f aca="false">FALSE()</f>
        <v>0</v>
      </c>
      <c r="G210" s="19" t="n">
        <v>0</v>
      </c>
    </row>
    <row r="211" customFormat="false" ht="15" hidden="false" customHeight="false" outlineLevel="0" collapsed="false">
      <c r="A211" s="19" t="n">
        <v>269699</v>
      </c>
      <c r="B211" s="19" t="n">
        <v>13448.49</v>
      </c>
      <c r="C211" s="19" t="n">
        <v>13448.49</v>
      </c>
      <c r="D211" s="19" t="n">
        <v>0</v>
      </c>
      <c r="E211" s="19"/>
      <c r="F211" s="20" t="b">
        <f aca="false">FALSE()</f>
        <v>0</v>
      </c>
      <c r="G211" s="19" t="n">
        <v>0</v>
      </c>
    </row>
    <row r="212" customFormat="false" ht="15" hidden="false" customHeight="false" outlineLevel="0" collapsed="false">
      <c r="A212" s="19" t="n">
        <v>270877</v>
      </c>
      <c r="B212" s="19" t="n">
        <v>19145.98</v>
      </c>
      <c r="C212" s="19" t="n">
        <v>19145.98</v>
      </c>
      <c r="D212" s="19" t="n">
        <v>0</v>
      </c>
      <c r="E212" s="19"/>
      <c r="F212" s="20" t="b">
        <f aca="false">FALSE()</f>
        <v>0</v>
      </c>
      <c r="G212" s="19" t="n">
        <v>0</v>
      </c>
    </row>
    <row r="213" customFormat="false" ht="15" hidden="false" customHeight="false" outlineLevel="0" collapsed="false">
      <c r="A213" s="19" t="n">
        <v>271980</v>
      </c>
      <c r="B213" s="19" t="n">
        <v>6900.93</v>
      </c>
      <c r="C213" s="19" t="n">
        <v>6900.93</v>
      </c>
      <c r="D213" s="19" t="n">
        <v>0</v>
      </c>
      <c r="E213" s="19"/>
      <c r="F213" s="20" t="b">
        <f aca="false">FALSE()</f>
        <v>0</v>
      </c>
      <c r="G213" s="19" t="n">
        <v>0</v>
      </c>
    </row>
    <row r="214" customFormat="false" ht="15" hidden="false" customHeight="false" outlineLevel="0" collapsed="false">
      <c r="A214" s="19" t="n">
        <v>273016</v>
      </c>
      <c r="B214" s="19" t="n">
        <v>87726.81</v>
      </c>
      <c r="C214" s="19" t="n">
        <v>87726.81</v>
      </c>
      <c r="D214" s="19" t="n">
        <v>0</v>
      </c>
      <c r="E214" s="19"/>
      <c r="F214" s="20" t="b">
        <f aca="false">FALSE()</f>
        <v>0</v>
      </c>
      <c r="G214" s="19" t="n">
        <v>0</v>
      </c>
    </row>
    <row r="215" customFormat="false" ht="15" hidden="false" customHeight="false" outlineLevel="0" collapsed="false">
      <c r="A215" s="19" t="n">
        <v>274081</v>
      </c>
      <c r="B215" s="19" t="n">
        <v>18890.68</v>
      </c>
      <c r="C215" s="19" t="n">
        <v>18890.68</v>
      </c>
      <c r="D215" s="19" t="n">
        <v>0</v>
      </c>
      <c r="E215" s="19"/>
      <c r="F215" s="20" t="b">
        <f aca="false">FALSE()</f>
        <v>0</v>
      </c>
      <c r="G215" s="19" t="n">
        <v>0</v>
      </c>
    </row>
    <row r="216" customFormat="false" ht="15" hidden="false" customHeight="false" outlineLevel="0" collapsed="false">
      <c r="A216" s="19" t="n">
        <v>275214</v>
      </c>
      <c r="B216" s="19" t="n">
        <v>32764.54</v>
      </c>
      <c r="C216" s="19" t="n">
        <v>32764.54</v>
      </c>
      <c r="D216" s="19" t="n">
        <v>0</v>
      </c>
      <c r="E216" s="19"/>
      <c r="F216" s="20" t="b">
        <f aca="false">FALSE()</f>
        <v>0</v>
      </c>
      <c r="G216" s="19" t="n">
        <v>0</v>
      </c>
    </row>
    <row r="217" customFormat="false" ht="15" hidden="false" customHeight="false" outlineLevel="0" collapsed="false">
      <c r="A217" s="19" t="n">
        <v>276372</v>
      </c>
      <c r="B217" s="19" t="n">
        <v>14768.65</v>
      </c>
      <c r="C217" s="19" t="n">
        <v>14768.65</v>
      </c>
      <c r="D217" s="19" t="n">
        <v>0</v>
      </c>
      <c r="E217" s="19"/>
      <c r="F217" s="20" t="b">
        <f aca="false">FALSE()</f>
        <v>0</v>
      </c>
      <c r="G217" s="19" t="n">
        <v>0</v>
      </c>
    </row>
    <row r="218" customFormat="false" ht="15" hidden="false" customHeight="false" outlineLevel="0" collapsed="false">
      <c r="A218" s="19" t="n">
        <v>277480</v>
      </c>
      <c r="B218" s="19" t="n">
        <v>3685.78</v>
      </c>
      <c r="C218" s="19" t="n">
        <v>3685.78</v>
      </c>
      <c r="D218" s="19" t="n">
        <v>0</v>
      </c>
      <c r="E218" s="19"/>
      <c r="F218" s="20" t="b">
        <f aca="false">FALSE()</f>
        <v>0</v>
      </c>
      <c r="G218" s="19" t="n">
        <v>0</v>
      </c>
    </row>
    <row r="219" customFormat="false" ht="15" hidden="false" customHeight="false" outlineLevel="0" collapsed="false">
      <c r="A219" s="19" t="n">
        <v>278576</v>
      </c>
      <c r="B219" s="19" t="n">
        <v>15790.56</v>
      </c>
      <c r="C219" s="19" t="n">
        <v>15790.56</v>
      </c>
      <c r="D219" s="19" t="n">
        <v>0</v>
      </c>
      <c r="E219" s="19"/>
      <c r="F219" s="20" t="b">
        <f aca="false">FALSE()</f>
        <v>0</v>
      </c>
      <c r="G219" s="19" t="n">
        <v>0</v>
      </c>
    </row>
    <row r="220" customFormat="false" ht="15" hidden="false" customHeight="false" outlineLevel="0" collapsed="false">
      <c r="A220" s="19" t="n">
        <v>279701</v>
      </c>
      <c r="B220" s="19" t="n">
        <v>32242.7</v>
      </c>
      <c r="C220" s="19" t="n">
        <v>32242.7</v>
      </c>
      <c r="D220" s="19" t="n">
        <v>0</v>
      </c>
      <c r="E220" s="19"/>
      <c r="F220" s="20" t="b">
        <f aca="false">FALSE()</f>
        <v>0</v>
      </c>
      <c r="G220" s="19" t="n">
        <v>0</v>
      </c>
    </row>
    <row r="221" customFormat="false" ht="15" hidden="false" customHeight="false" outlineLevel="0" collapsed="false">
      <c r="A221" s="19" t="n">
        <v>280894</v>
      </c>
      <c r="B221" s="19" t="n">
        <v>62421.67</v>
      </c>
      <c r="C221" s="19" t="n">
        <v>62421.67</v>
      </c>
      <c r="D221" s="19" t="n">
        <v>0</v>
      </c>
      <c r="E221" s="19"/>
      <c r="F221" s="20" t="b">
        <f aca="false">FALSE()</f>
        <v>0</v>
      </c>
      <c r="G221" s="19" t="n">
        <v>0</v>
      </c>
    </row>
    <row r="222" customFormat="false" ht="15" hidden="false" customHeight="false" outlineLevel="0" collapsed="false">
      <c r="A222" s="19" t="n">
        <v>281976</v>
      </c>
      <c r="B222" s="19" t="n">
        <v>5409.19</v>
      </c>
      <c r="C222" s="19" t="n">
        <v>5409.19</v>
      </c>
      <c r="D222" s="19" t="n">
        <v>0</v>
      </c>
      <c r="E222" s="19"/>
      <c r="F222" s="20" t="b">
        <f aca="false">FALSE()</f>
        <v>0</v>
      </c>
      <c r="G222" s="19" t="n">
        <v>0</v>
      </c>
    </row>
    <row r="223" customFormat="false" ht="15" hidden="false" customHeight="false" outlineLevel="0" collapsed="false">
      <c r="A223" s="19" t="n">
        <v>283123</v>
      </c>
      <c r="B223" s="19" t="n">
        <v>22615.04</v>
      </c>
      <c r="C223" s="19" t="n">
        <v>22615.04</v>
      </c>
      <c r="D223" s="19" t="n">
        <v>0</v>
      </c>
      <c r="E223" s="19"/>
      <c r="F223" s="20" t="b">
        <f aca="false">FALSE()</f>
        <v>0</v>
      </c>
      <c r="G223" s="19" t="n">
        <v>0</v>
      </c>
    </row>
    <row r="224" customFormat="false" ht="15" hidden="false" customHeight="false" outlineLevel="0" collapsed="false">
      <c r="A224" s="19" t="n">
        <v>284201</v>
      </c>
      <c r="B224" s="19" t="n">
        <v>11407.78</v>
      </c>
      <c r="C224" s="19" t="n">
        <v>11407.78</v>
      </c>
      <c r="D224" s="19" t="n">
        <v>0</v>
      </c>
      <c r="E224" s="19"/>
      <c r="F224" s="20" t="b">
        <f aca="false">FALSE()</f>
        <v>0</v>
      </c>
      <c r="G224" s="19" t="n">
        <v>0</v>
      </c>
    </row>
    <row r="225" customFormat="false" ht="15" hidden="false" customHeight="false" outlineLevel="0" collapsed="false">
      <c r="A225" s="19" t="n">
        <v>285271</v>
      </c>
      <c r="B225" s="19" t="n">
        <v>17815.54</v>
      </c>
      <c r="C225" s="19" t="n">
        <v>17815.54</v>
      </c>
      <c r="D225" s="19" t="n">
        <v>0</v>
      </c>
      <c r="E225" s="19"/>
      <c r="F225" s="20" t="b">
        <f aca="false">FALSE()</f>
        <v>0</v>
      </c>
      <c r="G225" s="19" t="n">
        <v>0</v>
      </c>
    </row>
    <row r="226" customFormat="false" ht="15" hidden="false" customHeight="false" outlineLevel="0" collapsed="false">
      <c r="A226" s="19" t="n">
        <v>286401</v>
      </c>
      <c r="B226" s="19" t="n">
        <v>70285.48</v>
      </c>
      <c r="C226" s="19" t="n">
        <v>70285.48</v>
      </c>
      <c r="D226" s="19" t="n">
        <v>0</v>
      </c>
      <c r="E226" s="19"/>
      <c r="F226" s="20" t="b">
        <f aca="false">FALSE()</f>
        <v>0</v>
      </c>
      <c r="G226" s="19" t="n">
        <v>0</v>
      </c>
    </row>
    <row r="227" customFormat="false" ht="15" hidden="false" customHeight="false" outlineLevel="0" collapsed="false">
      <c r="A227" s="19" t="n">
        <v>287529</v>
      </c>
      <c r="B227" s="19" t="n">
        <v>3840.35</v>
      </c>
      <c r="C227" s="19" t="n">
        <v>3840.35</v>
      </c>
      <c r="D227" s="19" t="n">
        <v>0</v>
      </c>
      <c r="E227" s="19"/>
      <c r="F227" s="20" t="b">
        <f aca="false">FALSE()</f>
        <v>0</v>
      </c>
      <c r="G227" s="19" t="n">
        <v>0</v>
      </c>
    </row>
    <row r="228" customFormat="false" ht="15" hidden="false" customHeight="false" outlineLevel="0" collapsed="false">
      <c r="A228" s="19" t="n">
        <v>288736</v>
      </c>
      <c r="B228" s="19" t="n">
        <v>6996.19</v>
      </c>
      <c r="C228" s="19" t="n">
        <v>6996.19</v>
      </c>
      <c r="D228" s="19" t="n">
        <v>0</v>
      </c>
      <c r="E228" s="19"/>
      <c r="F228" s="20" t="b">
        <f aca="false">FALSE()</f>
        <v>0</v>
      </c>
      <c r="G228" s="19" t="n">
        <v>0</v>
      </c>
    </row>
    <row r="229" customFormat="false" ht="15" hidden="false" customHeight="false" outlineLevel="0" collapsed="false">
      <c r="A229" s="19" t="n">
        <v>289845</v>
      </c>
      <c r="B229" s="19" t="n">
        <v>28764.6</v>
      </c>
      <c r="C229" s="19" t="n">
        <v>28764.6</v>
      </c>
      <c r="D229" s="19" t="n">
        <v>0</v>
      </c>
      <c r="E229" s="19"/>
      <c r="F229" s="20" t="b">
        <f aca="false">FALSE()</f>
        <v>0</v>
      </c>
      <c r="G229" s="19" t="n">
        <v>0</v>
      </c>
    </row>
    <row r="230" customFormat="false" ht="15" hidden="false" customHeight="false" outlineLevel="0" collapsed="false">
      <c r="A230" s="19" t="n">
        <v>291118</v>
      </c>
      <c r="B230" s="19" t="n">
        <v>3371.52</v>
      </c>
      <c r="C230" s="19" t="n">
        <v>3371.52</v>
      </c>
      <c r="D230" s="19" t="n">
        <v>0</v>
      </c>
      <c r="E230" s="19"/>
      <c r="F230" s="20" t="b">
        <f aca="false">FALSE()</f>
        <v>0</v>
      </c>
      <c r="G230" s="19" t="n">
        <v>0</v>
      </c>
    </row>
    <row r="231" customFormat="false" ht="15" hidden="false" customHeight="false" outlineLevel="0" collapsed="false">
      <c r="A231" s="19" t="n">
        <v>292378</v>
      </c>
      <c r="B231" s="19" t="n">
        <v>22678.76</v>
      </c>
      <c r="C231" s="19" t="n">
        <v>22678.76</v>
      </c>
      <c r="D231" s="19" t="n">
        <v>0</v>
      </c>
      <c r="E231" s="19"/>
      <c r="F231" s="20" t="b">
        <f aca="false">FALSE()</f>
        <v>0</v>
      </c>
      <c r="G231" s="19" t="n">
        <v>0</v>
      </c>
    </row>
    <row r="232" customFormat="false" ht="15" hidden="false" customHeight="false" outlineLevel="0" collapsed="false">
      <c r="A232" s="19" t="n">
        <v>293511</v>
      </c>
      <c r="B232" s="19" t="n">
        <v>7358.81</v>
      </c>
      <c r="C232" s="19" t="n">
        <v>7358.81</v>
      </c>
      <c r="D232" s="19" t="n">
        <v>0</v>
      </c>
      <c r="E232" s="19"/>
      <c r="F232" s="20" t="b">
        <f aca="false">FALSE()</f>
        <v>0</v>
      </c>
      <c r="G232" s="19" t="n">
        <v>0</v>
      </c>
    </row>
    <row r="233" customFormat="false" ht="15" hidden="false" customHeight="false" outlineLevel="0" collapsed="false">
      <c r="A233" s="19" t="n">
        <v>294668</v>
      </c>
      <c r="B233" s="19" t="n">
        <v>25972.22</v>
      </c>
      <c r="C233" s="19" t="n">
        <v>25972.22</v>
      </c>
      <c r="D233" s="19" t="n">
        <v>0</v>
      </c>
      <c r="E233" s="19"/>
      <c r="F233" s="20" t="b">
        <f aca="false">FALSE()</f>
        <v>0</v>
      </c>
      <c r="G233" s="19" t="n">
        <v>0</v>
      </c>
    </row>
    <row r="234" customFormat="false" ht="15" hidden="false" customHeight="false" outlineLevel="0" collapsed="false">
      <c r="A234" s="19" t="n">
        <v>295830</v>
      </c>
      <c r="B234" s="19" t="n">
        <v>1741.34</v>
      </c>
      <c r="C234" s="19" t="n">
        <v>1741.34</v>
      </c>
      <c r="D234" s="19" t="n">
        <v>0</v>
      </c>
      <c r="E234" s="19"/>
      <c r="F234" s="20" t="b">
        <f aca="false">FALSE()</f>
        <v>0</v>
      </c>
      <c r="G234" s="19" t="n">
        <v>0</v>
      </c>
    </row>
    <row r="235" customFormat="false" ht="15" hidden="false" customHeight="false" outlineLevel="0" collapsed="false">
      <c r="A235" s="19" t="n">
        <v>297032</v>
      </c>
      <c r="B235" s="19" t="n">
        <v>7007.44</v>
      </c>
      <c r="C235" s="19" t="n">
        <v>7007.44</v>
      </c>
      <c r="D235" s="19" t="n">
        <v>0</v>
      </c>
      <c r="E235" s="19"/>
      <c r="F235" s="20" t="b">
        <f aca="false">FALSE()</f>
        <v>0</v>
      </c>
      <c r="G235" s="19" t="n">
        <v>0</v>
      </c>
    </row>
    <row r="236" customFormat="false" ht="15" hidden="false" customHeight="false" outlineLevel="0" collapsed="false">
      <c r="A236" s="19" t="n">
        <v>298077</v>
      </c>
      <c r="B236" s="19" t="n">
        <v>3830.64</v>
      </c>
      <c r="C236" s="19" t="n">
        <v>3830.64</v>
      </c>
      <c r="D236" s="19" t="n">
        <v>0</v>
      </c>
      <c r="E236" s="19"/>
      <c r="F236" s="20" t="b">
        <f aca="false">FALSE()</f>
        <v>0</v>
      </c>
      <c r="G236" s="19" t="n">
        <v>0</v>
      </c>
    </row>
    <row r="237" customFormat="false" ht="15" hidden="false" customHeight="false" outlineLevel="0" collapsed="false">
      <c r="A237" s="19" t="n">
        <v>299269</v>
      </c>
      <c r="B237" s="19" t="n">
        <v>8107.42</v>
      </c>
      <c r="C237" s="19" t="n">
        <v>8107.42</v>
      </c>
      <c r="D237" s="19" t="n">
        <v>0</v>
      </c>
      <c r="E237" s="19"/>
      <c r="F237" s="20" t="b">
        <f aca="false">FALSE()</f>
        <v>0</v>
      </c>
      <c r="G237" s="19" t="n">
        <v>0</v>
      </c>
    </row>
    <row r="238" customFormat="false" ht="15" hidden="false" customHeight="false" outlineLevel="0" collapsed="false">
      <c r="A238" s="19" t="n">
        <v>300416</v>
      </c>
      <c r="B238" s="19" t="n">
        <v>101403.43</v>
      </c>
      <c r="C238" s="19" t="n">
        <v>101403.43</v>
      </c>
      <c r="D238" s="19" t="n">
        <v>0</v>
      </c>
      <c r="E238" s="19"/>
      <c r="F238" s="20" t="b">
        <f aca="false">FALSE()</f>
        <v>0</v>
      </c>
      <c r="G238" s="19" t="n">
        <v>0</v>
      </c>
    </row>
    <row r="239" customFormat="false" ht="15" hidden="false" customHeight="false" outlineLevel="0" collapsed="false">
      <c r="A239" s="19" t="n">
        <v>301483</v>
      </c>
      <c r="B239" s="19" t="n">
        <v>110032.16</v>
      </c>
      <c r="C239" s="19" t="n">
        <v>110032.16</v>
      </c>
      <c r="D239" s="19" t="n">
        <v>0</v>
      </c>
      <c r="E239" s="19"/>
      <c r="F239" s="20" t="b">
        <f aca="false">FALSE()</f>
        <v>0</v>
      </c>
      <c r="G239" s="19" t="n">
        <v>0</v>
      </c>
    </row>
    <row r="240" customFormat="false" ht="15" hidden="false" customHeight="false" outlineLevel="0" collapsed="false">
      <c r="A240" s="19" t="n">
        <v>302457</v>
      </c>
      <c r="B240" s="19" t="n">
        <v>9747.87</v>
      </c>
      <c r="C240" s="19" t="n">
        <v>9747.87</v>
      </c>
      <c r="D240" s="19" t="n">
        <v>0</v>
      </c>
      <c r="E240" s="19"/>
      <c r="F240" s="20" t="b">
        <f aca="false">FALSE()</f>
        <v>0</v>
      </c>
      <c r="G240" s="19" t="n">
        <v>0</v>
      </c>
    </row>
    <row r="241" customFormat="false" ht="15" hidden="false" customHeight="false" outlineLevel="0" collapsed="false">
      <c r="A241" s="19" t="n">
        <v>303631</v>
      </c>
      <c r="B241" s="19" t="n">
        <v>16666.35</v>
      </c>
      <c r="C241" s="19" t="n">
        <v>16666.35</v>
      </c>
      <c r="D241" s="19" t="n">
        <v>0</v>
      </c>
      <c r="E241" s="19"/>
      <c r="F241" s="20" t="b">
        <f aca="false">FALSE()</f>
        <v>0</v>
      </c>
      <c r="G241" s="19" t="n">
        <v>0</v>
      </c>
    </row>
    <row r="242" customFormat="false" ht="15" hidden="false" customHeight="false" outlineLevel="0" collapsed="false">
      <c r="A242" s="19" t="n">
        <v>304778</v>
      </c>
      <c r="B242" s="19" t="n">
        <v>1289.54</v>
      </c>
      <c r="C242" s="19" t="n">
        <v>1289.54</v>
      </c>
      <c r="D242" s="19" t="n">
        <v>0</v>
      </c>
      <c r="E242" s="19"/>
      <c r="F242" s="20" t="b">
        <f aca="false">FALSE()</f>
        <v>0</v>
      </c>
      <c r="G242" s="19" t="n">
        <v>0</v>
      </c>
    </row>
    <row r="243" customFormat="false" ht="15" hidden="false" customHeight="false" outlineLevel="0" collapsed="false">
      <c r="A243" s="19" t="n">
        <v>305802</v>
      </c>
      <c r="B243" s="19" t="n">
        <v>17927.15</v>
      </c>
      <c r="C243" s="19" t="n">
        <v>17927.15</v>
      </c>
      <c r="D243" s="19" t="n">
        <v>0</v>
      </c>
      <c r="E243" s="19"/>
      <c r="F243" s="20" t="b">
        <f aca="false">FALSE()</f>
        <v>0</v>
      </c>
      <c r="G243" s="19" t="n">
        <v>0</v>
      </c>
    </row>
    <row r="244" customFormat="false" ht="15" hidden="false" customHeight="false" outlineLevel="0" collapsed="false">
      <c r="A244" s="19" t="n">
        <v>306879</v>
      </c>
      <c r="B244" s="19" t="n">
        <v>838.61</v>
      </c>
      <c r="C244" s="19" t="n">
        <v>838.61</v>
      </c>
      <c r="D244" s="19" t="n">
        <v>0</v>
      </c>
      <c r="E244" s="19"/>
      <c r="F244" s="20" t="b">
        <f aca="false">FALSE()</f>
        <v>0</v>
      </c>
      <c r="G244" s="19" t="n">
        <v>0</v>
      </c>
    </row>
    <row r="245" customFormat="false" ht="15" hidden="false" customHeight="false" outlineLevel="0" collapsed="false">
      <c r="A245" s="19" t="n">
        <v>308067</v>
      </c>
      <c r="B245" s="19" t="n">
        <v>7882.36</v>
      </c>
      <c r="C245" s="19" t="n">
        <v>7882.36</v>
      </c>
      <c r="D245" s="19" t="n">
        <v>0</v>
      </c>
      <c r="E245" s="19"/>
      <c r="F245" s="20" t="b">
        <f aca="false">FALSE()</f>
        <v>0</v>
      </c>
      <c r="G245" s="19" t="n">
        <v>0</v>
      </c>
    </row>
    <row r="246" customFormat="false" ht="15" hidden="false" customHeight="false" outlineLevel="0" collapsed="false">
      <c r="A246" s="19" t="n">
        <v>309141</v>
      </c>
      <c r="B246" s="19" t="n">
        <v>4343.95</v>
      </c>
      <c r="C246" s="19" t="n">
        <v>4343.95</v>
      </c>
      <c r="D246" s="19" t="n">
        <v>0</v>
      </c>
      <c r="E246" s="19"/>
      <c r="F246" s="20" t="b">
        <f aca="false">FALSE()</f>
        <v>0</v>
      </c>
      <c r="G246" s="19" t="n">
        <v>0</v>
      </c>
    </row>
    <row r="247" customFormat="false" ht="15" hidden="false" customHeight="false" outlineLevel="0" collapsed="false">
      <c r="A247" s="19" t="n">
        <v>310247</v>
      </c>
      <c r="B247" s="19" t="n">
        <v>8123.43</v>
      </c>
      <c r="C247" s="19" t="n">
        <v>8123.43</v>
      </c>
      <c r="D247" s="19" t="n">
        <v>0</v>
      </c>
      <c r="E247" s="19"/>
      <c r="F247" s="20" t="b">
        <f aca="false">FALSE()</f>
        <v>0</v>
      </c>
      <c r="G247" s="19" t="n">
        <v>0</v>
      </c>
    </row>
    <row r="248" customFormat="false" ht="15" hidden="false" customHeight="false" outlineLevel="0" collapsed="false">
      <c r="A248" s="19" t="n">
        <v>311371</v>
      </c>
      <c r="B248" s="19" t="n">
        <v>28808.22</v>
      </c>
      <c r="C248" s="19" t="n">
        <v>28808.22</v>
      </c>
      <c r="D248" s="19" t="n">
        <v>0</v>
      </c>
      <c r="E248" s="19"/>
      <c r="F248" s="20" t="b">
        <f aca="false">FALSE()</f>
        <v>0</v>
      </c>
      <c r="G248" s="19" t="n">
        <v>0</v>
      </c>
    </row>
    <row r="249" customFormat="false" ht="15" hidden="false" customHeight="false" outlineLevel="0" collapsed="false">
      <c r="A249" s="19" t="n">
        <v>312409</v>
      </c>
      <c r="B249" s="19" t="n">
        <v>1846.84</v>
      </c>
      <c r="C249" s="19" t="n">
        <v>1846.84</v>
      </c>
      <c r="D249" s="19" t="n">
        <v>0</v>
      </c>
      <c r="E249" s="19"/>
      <c r="F249" s="20" t="b">
        <f aca="false">FALSE()</f>
        <v>0</v>
      </c>
      <c r="G249" s="19" t="n">
        <v>0</v>
      </c>
    </row>
    <row r="250" customFormat="false" ht="15" hidden="false" customHeight="false" outlineLevel="0" collapsed="false">
      <c r="A250" s="19" t="n">
        <v>313607</v>
      </c>
      <c r="B250" s="19" t="n">
        <v>15136.22</v>
      </c>
      <c r="C250" s="19" t="n">
        <v>15136.22</v>
      </c>
      <c r="D250" s="19" t="n">
        <v>0</v>
      </c>
      <c r="E250" s="19"/>
      <c r="F250" s="20" t="b">
        <f aca="false">FALSE()</f>
        <v>0</v>
      </c>
      <c r="G250" s="19" t="n">
        <v>0</v>
      </c>
    </row>
    <row r="251" customFormat="false" ht="15" hidden="false" customHeight="false" outlineLevel="0" collapsed="false">
      <c r="A251" s="19" t="n">
        <v>314643</v>
      </c>
      <c r="B251" s="19" t="n">
        <v>9592.98</v>
      </c>
      <c r="C251" s="19" t="n">
        <v>9592.98</v>
      </c>
      <c r="D251" s="19" t="n">
        <v>9592.98</v>
      </c>
      <c r="E251" s="19" t="s">
        <v>108</v>
      </c>
      <c r="F251" s="20" t="b">
        <f aca="false">TRUE()</f>
        <v>1</v>
      </c>
      <c r="G251" s="19" t="n">
        <v>1</v>
      </c>
    </row>
    <row r="252" customFormat="false" ht="15" hidden="false" customHeight="false" outlineLevel="0" collapsed="false">
      <c r="A252" s="19" t="n">
        <v>315771</v>
      </c>
      <c r="B252" s="19" t="n">
        <v>7017.6</v>
      </c>
      <c r="C252" s="19" t="n">
        <v>7017.6</v>
      </c>
      <c r="D252" s="19" t="n">
        <v>0</v>
      </c>
      <c r="E252" s="19"/>
      <c r="F252" s="20" t="b">
        <f aca="false">FALSE()</f>
        <v>0</v>
      </c>
      <c r="G252" s="19" t="n">
        <v>0</v>
      </c>
    </row>
    <row r="253" customFormat="false" ht="15" hidden="false" customHeight="false" outlineLevel="0" collapsed="false">
      <c r="A253" s="19" t="n">
        <v>316929</v>
      </c>
      <c r="B253" s="19" t="n">
        <v>20758.1</v>
      </c>
      <c r="C253" s="19" t="n">
        <v>20758.1</v>
      </c>
      <c r="D253" s="19" t="n">
        <v>20758.1</v>
      </c>
      <c r="E253" s="19" t="s">
        <v>109</v>
      </c>
      <c r="F253" s="20" t="b">
        <f aca="false">TRUE()</f>
        <v>1</v>
      </c>
      <c r="G253" s="19" t="n">
        <v>1</v>
      </c>
    </row>
    <row r="254" customFormat="false" ht="15" hidden="false" customHeight="false" outlineLevel="0" collapsed="false">
      <c r="A254" s="19" t="n">
        <v>318085</v>
      </c>
      <c r="B254" s="19" t="n">
        <v>44169.48</v>
      </c>
      <c r="C254" s="19" t="n">
        <v>44169.48</v>
      </c>
      <c r="D254" s="19" t="n">
        <v>0</v>
      </c>
      <c r="E254" s="19"/>
      <c r="F254" s="20" t="b">
        <f aca="false">FALSE()</f>
        <v>0</v>
      </c>
      <c r="G254" s="19" t="n">
        <v>0</v>
      </c>
    </row>
    <row r="255" customFormat="false" ht="15" hidden="false" customHeight="false" outlineLevel="0" collapsed="false">
      <c r="A255" s="19" t="n">
        <v>319252</v>
      </c>
      <c r="B255" s="19" t="n">
        <v>9136.92</v>
      </c>
      <c r="C255" s="19" t="n">
        <v>9136.92</v>
      </c>
      <c r="D255" s="19" t="n">
        <v>0</v>
      </c>
      <c r="E255" s="19"/>
      <c r="F255" s="20" t="b">
        <f aca="false">FALSE()</f>
        <v>0</v>
      </c>
      <c r="G255" s="19" t="n">
        <v>0</v>
      </c>
    </row>
    <row r="256" customFormat="false" ht="15" hidden="false" customHeight="false" outlineLevel="0" collapsed="false">
      <c r="A256" s="19" t="n">
        <v>320309</v>
      </c>
      <c r="B256" s="19" t="n">
        <v>2580.74</v>
      </c>
      <c r="C256" s="19" t="n">
        <v>2580.74</v>
      </c>
      <c r="D256" s="19" t="n">
        <v>0</v>
      </c>
      <c r="E256" s="19"/>
      <c r="F256" s="20" t="b">
        <f aca="false">FALSE()</f>
        <v>0</v>
      </c>
      <c r="G256" s="19" t="n">
        <v>0</v>
      </c>
    </row>
    <row r="257" customFormat="false" ht="15" hidden="false" customHeight="false" outlineLevel="0" collapsed="false">
      <c r="A257" s="19" t="n">
        <v>321502</v>
      </c>
      <c r="B257" s="19" t="n">
        <v>80795.34</v>
      </c>
      <c r="C257" s="19" t="n">
        <v>80795.34</v>
      </c>
      <c r="D257" s="19" t="n">
        <v>0</v>
      </c>
      <c r="E257" s="19"/>
      <c r="F257" s="20" t="b">
        <f aca="false">FALSE()</f>
        <v>0</v>
      </c>
      <c r="G257" s="19" t="n">
        <v>0</v>
      </c>
    </row>
    <row r="258" customFormat="false" ht="15" hidden="false" customHeight="false" outlineLevel="0" collapsed="false">
      <c r="A258" s="19" t="n">
        <v>322681</v>
      </c>
      <c r="B258" s="19" t="n">
        <v>36909.61</v>
      </c>
      <c r="C258" s="19" t="n">
        <v>36909.61</v>
      </c>
      <c r="D258" s="19" t="n">
        <v>0</v>
      </c>
      <c r="E258" s="19"/>
      <c r="F258" s="20" t="b">
        <f aca="false">FALSE()</f>
        <v>0</v>
      </c>
      <c r="G258" s="19" t="n">
        <v>0</v>
      </c>
    </row>
    <row r="259" customFormat="false" ht="15" hidden="false" customHeight="false" outlineLevel="0" collapsed="false">
      <c r="A259" s="19" t="n">
        <v>323825</v>
      </c>
      <c r="B259" s="19" t="n">
        <v>1063.86</v>
      </c>
      <c r="C259" s="19" t="n">
        <v>1063.86</v>
      </c>
      <c r="D259" s="19" t="n">
        <v>0</v>
      </c>
      <c r="E259" s="19"/>
      <c r="F259" s="20" t="b">
        <f aca="false">FALSE()</f>
        <v>0</v>
      </c>
      <c r="G259" s="19" t="n">
        <v>0</v>
      </c>
    </row>
    <row r="260" customFormat="false" ht="15" hidden="false" customHeight="false" outlineLevel="0" collapsed="false">
      <c r="A260" s="19" t="n">
        <v>324967</v>
      </c>
      <c r="B260" s="19" t="n">
        <v>24621.63</v>
      </c>
      <c r="C260" s="19" t="n">
        <v>24621.63</v>
      </c>
      <c r="D260" s="19" t="n">
        <v>0</v>
      </c>
      <c r="E260" s="19"/>
      <c r="F260" s="20" t="b">
        <f aca="false">FALSE()</f>
        <v>0</v>
      </c>
      <c r="G260" s="19" t="n">
        <v>0</v>
      </c>
    </row>
    <row r="261" customFormat="false" ht="15" hidden="false" customHeight="false" outlineLevel="0" collapsed="false">
      <c r="A261" s="19" t="n">
        <v>326037</v>
      </c>
      <c r="B261" s="19" t="n">
        <v>11390.7</v>
      </c>
      <c r="C261" s="19" t="n">
        <v>11390.7</v>
      </c>
      <c r="D261" s="19" t="n">
        <v>0</v>
      </c>
      <c r="E261" s="19"/>
      <c r="F261" s="20" t="b">
        <f aca="false">FALSE()</f>
        <v>0</v>
      </c>
      <c r="G261" s="19" t="n">
        <v>0</v>
      </c>
    </row>
    <row r="262" customFormat="false" ht="15" hidden="false" customHeight="false" outlineLevel="0" collapsed="false">
      <c r="A262" s="19" t="n">
        <v>327159</v>
      </c>
      <c r="B262" s="19" t="n">
        <v>15138.05</v>
      </c>
      <c r="C262" s="19" t="n">
        <v>15138.05</v>
      </c>
      <c r="D262" s="19" t="n">
        <v>0</v>
      </c>
      <c r="E262" s="19"/>
      <c r="F262" s="20" t="b">
        <f aca="false">FALSE()</f>
        <v>0</v>
      </c>
      <c r="G262" s="19" t="n">
        <v>0</v>
      </c>
    </row>
    <row r="263" customFormat="false" ht="15" hidden="false" customHeight="false" outlineLevel="0" collapsed="false">
      <c r="A263" s="19" t="n">
        <v>328345</v>
      </c>
      <c r="B263" s="19" t="n">
        <v>5359.41</v>
      </c>
      <c r="C263" s="19" t="n">
        <v>5359.41</v>
      </c>
      <c r="D263" s="19" t="n">
        <v>0</v>
      </c>
      <c r="E263" s="19"/>
      <c r="F263" s="20" t="b">
        <f aca="false">FALSE()</f>
        <v>0</v>
      </c>
      <c r="G263" s="19" t="n">
        <v>0</v>
      </c>
    </row>
    <row r="264" customFormat="false" ht="15" hidden="false" customHeight="false" outlineLevel="0" collapsed="false">
      <c r="A264" s="19" t="n">
        <v>329536</v>
      </c>
      <c r="B264" s="19" t="n">
        <v>51774.54</v>
      </c>
      <c r="C264" s="19" t="n">
        <v>51774.54</v>
      </c>
      <c r="D264" s="19" t="n">
        <v>0</v>
      </c>
      <c r="E264" s="19"/>
      <c r="F264" s="20" t="b">
        <f aca="false">FALSE()</f>
        <v>0</v>
      </c>
      <c r="G264" s="19" t="n">
        <v>0</v>
      </c>
    </row>
    <row r="265" customFormat="false" ht="15" hidden="false" customHeight="false" outlineLevel="0" collapsed="false">
      <c r="A265" s="19" t="n">
        <v>330659</v>
      </c>
      <c r="B265" s="19" t="n">
        <v>921.45</v>
      </c>
      <c r="C265" s="19" t="n">
        <v>921.45</v>
      </c>
      <c r="D265" s="19" t="n">
        <v>0</v>
      </c>
      <c r="E265" s="19"/>
      <c r="F265" s="20" t="b">
        <f aca="false">FALSE()</f>
        <v>0</v>
      </c>
      <c r="G265" s="19" t="n">
        <v>0</v>
      </c>
    </row>
    <row r="266" customFormat="false" ht="15" hidden="false" customHeight="false" outlineLevel="0" collapsed="false">
      <c r="A266" s="19" t="n">
        <v>331911</v>
      </c>
      <c r="B266" s="19" t="n">
        <v>2384.98</v>
      </c>
      <c r="C266" s="19" t="n">
        <v>2384.98</v>
      </c>
      <c r="D266" s="19" t="n">
        <v>0</v>
      </c>
      <c r="E266" s="19"/>
      <c r="F266" s="20" t="b">
        <f aca="false">FALSE()</f>
        <v>0</v>
      </c>
      <c r="G266" s="19" t="n">
        <v>0</v>
      </c>
    </row>
    <row r="267" customFormat="false" ht="15" hidden="false" customHeight="false" outlineLevel="0" collapsed="false">
      <c r="A267" s="19" t="n">
        <v>333066</v>
      </c>
      <c r="B267" s="19" t="n">
        <v>11329.07</v>
      </c>
      <c r="C267" s="19" t="n">
        <v>11329.07</v>
      </c>
      <c r="D267" s="19" t="n">
        <v>0</v>
      </c>
      <c r="E267" s="19"/>
      <c r="F267" s="20" t="b">
        <f aca="false">FALSE()</f>
        <v>0</v>
      </c>
      <c r="G267" s="19" t="n">
        <v>0</v>
      </c>
    </row>
    <row r="268" customFormat="false" ht="15" hidden="false" customHeight="false" outlineLevel="0" collapsed="false">
      <c r="A268" s="19" t="n">
        <v>334262</v>
      </c>
      <c r="B268" s="19" t="n">
        <v>5299.58</v>
      </c>
      <c r="C268" s="19" t="n">
        <v>5299.58</v>
      </c>
      <c r="D268" s="19" t="n">
        <v>0</v>
      </c>
      <c r="E268" s="19"/>
      <c r="F268" s="20" t="b">
        <f aca="false">FALSE()</f>
        <v>0</v>
      </c>
      <c r="G268" s="19" t="n">
        <v>0</v>
      </c>
    </row>
    <row r="269" customFormat="false" ht="15" hidden="false" customHeight="false" outlineLevel="0" collapsed="false">
      <c r="A269" s="19" t="n">
        <v>335372</v>
      </c>
      <c r="B269" s="19" t="n">
        <v>13404.88</v>
      </c>
      <c r="C269" s="19" t="n">
        <v>13404.88</v>
      </c>
      <c r="D269" s="19" t="n">
        <v>0</v>
      </c>
      <c r="E269" s="19"/>
      <c r="F269" s="20" t="b">
        <f aca="false">FALSE()</f>
        <v>0</v>
      </c>
      <c r="G269" s="19" t="n">
        <v>0</v>
      </c>
    </row>
    <row r="270" customFormat="false" ht="15" hidden="false" customHeight="false" outlineLevel="0" collapsed="false">
      <c r="A270" s="19" t="n">
        <v>336616</v>
      </c>
      <c r="B270" s="19" t="n">
        <v>28742.21</v>
      </c>
      <c r="C270" s="19" t="n">
        <v>28742.21</v>
      </c>
      <c r="D270" s="19" t="n">
        <v>0</v>
      </c>
      <c r="E270" s="19"/>
      <c r="F270" s="20" t="b">
        <f aca="false">FALSE()</f>
        <v>0</v>
      </c>
      <c r="G270" s="19" t="n">
        <v>0</v>
      </c>
    </row>
    <row r="271" customFormat="false" ht="15" hidden="false" customHeight="false" outlineLevel="0" collapsed="false">
      <c r="A271" s="19" t="n">
        <v>337724</v>
      </c>
      <c r="B271" s="19" t="n">
        <v>20267.11</v>
      </c>
      <c r="C271" s="19" t="n">
        <v>20267.11</v>
      </c>
      <c r="D271" s="19" t="n">
        <v>0</v>
      </c>
      <c r="E271" s="19"/>
      <c r="F271" s="20" t="b">
        <f aca="false">FALSE()</f>
        <v>0</v>
      </c>
      <c r="G271" s="19" t="n">
        <v>0</v>
      </c>
    </row>
    <row r="272" customFormat="false" ht="15" hidden="false" customHeight="false" outlineLevel="0" collapsed="false">
      <c r="A272" s="19" t="n">
        <v>338813</v>
      </c>
      <c r="B272" s="19" t="n">
        <v>5084.43</v>
      </c>
      <c r="C272" s="19" t="n">
        <v>5084.43</v>
      </c>
      <c r="D272" s="19" t="n">
        <v>0</v>
      </c>
      <c r="E272" s="19"/>
      <c r="F272" s="20" t="b">
        <f aca="false">FALSE()</f>
        <v>0</v>
      </c>
      <c r="G272" s="19" t="n">
        <v>0</v>
      </c>
    </row>
    <row r="273" customFormat="false" ht="15" hidden="false" customHeight="false" outlineLevel="0" collapsed="false">
      <c r="A273" s="19" t="n">
        <v>339932</v>
      </c>
      <c r="B273" s="19" t="n">
        <v>22454.92</v>
      </c>
      <c r="C273" s="19" t="n">
        <v>22454.92</v>
      </c>
      <c r="D273" s="19" t="n">
        <v>0</v>
      </c>
      <c r="E273" s="19"/>
      <c r="F273" s="20" t="b">
        <f aca="false">FALSE()</f>
        <v>0</v>
      </c>
      <c r="G273" s="19" t="n">
        <v>0</v>
      </c>
    </row>
    <row r="274" customFormat="false" ht="15" hidden="false" customHeight="false" outlineLevel="0" collapsed="false">
      <c r="A274" s="19" t="n">
        <v>340963</v>
      </c>
      <c r="B274" s="19" t="n">
        <v>81681.33</v>
      </c>
      <c r="C274" s="19" t="n">
        <v>81681.33</v>
      </c>
      <c r="D274" s="19" t="n">
        <v>0</v>
      </c>
      <c r="E274" s="19"/>
      <c r="F274" s="20" t="b">
        <f aca="false">FALSE()</f>
        <v>0</v>
      </c>
      <c r="G274" s="19" t="n">
        <v>0</v>
      </c>
    </row>
    <row r="275" customFormat="false" ht="15" hidden="false" customHeight="false" outlineLevel="0" collapsed="false">
      <c r="A275" s="19" t="n">
        <v>342042</v>
      </c>
      <c r="B275" s="19" t="n">
        <v>581127.86</v>
      </c>
      <c r="C275" s="19" t="n">
        <v>457981.54</v>
      </c>
      <c r="D275" s="19" t="n">
        <v>123146.32</v>
      </c>
      <c r="E275" s="19" t="s">
        <v>110</v>
      </c>
      <c r="F275" s="20" t="b">
        <f aca="false">FALSE()</f>
        <v>0</v>
      </c>
      <c r="G275" s="19" t="n">
        <v>0.2119091657385</v>
      </c>
    </row>
    <row r="276" customFormat="false" ht="15" hidden="false" customHeight="false" outlineLevel="0" collapsed="false">
      <c r="A276" s="19" t="n">
        <v>343094</v>
      </c>
      <c r="B276" s="19" t="n">
        <v>28265.83</v>
      </c>
      <c r="C276" s="19" t="n">
        <v>28265.83</v>
      </c>
      <c r="D276" s="19" t="n">
        <v>0</v>
      </c>
      <c r="E276" s="19"/>
      <c r="F276" s="20" t="b">
        <f aca="false">FALSE()</f>
        <v>0</v>
      </c>
      <c r="G276" s="19" t="n">
        <v>0</v>
      </c>
    </row>
    <row r="277" customFormat="false" ht="15" hidden="false" customHeight="false" outlineLevel="0" collapsed="false">
      <c r="A277" s="19" t="n">
        <v>344288</v>
      </c>
      <c r="B277" s="19" t="n">
        <v>4086.83</v>
      </c>
      <c r="C277" s="19" t="n">
        <v>4086.83</v>
      </c>
      <c r="D277" s="19" t="n">
        <v>0</v>
      </c>
      <c r="E277" s="19"/>
      <c r="F277" s="20" t="b">
        <f aca="false">FALSE()</f>
        <v>0</v>
      </c>
      <c r="G277" s="19" t="n">
        <v>0</v>
      </c>
    </row>
    <row r="278" customFormat="false" ht="15" hidden="false" customHeight="false" outlineLevel="0" collapsed="false">
      <c r="A278" s="19" t="n">
        <v>345356</v>
      </c>
      <c r="B278" s="19" t="n">
        <v>3692.53</v>
      </c>
      <c r="C278" s="19" t="n">
        <v>3692.53</v>
      </c>
      <c r="D278" s="19" t="n">
        <v>0</v>
      </c>
      <c r="E278" s="19"/>
      <c r="F278" s="20" t="b">
        <f aca="false">FALSE()</f>
        <v>0</v>
      </c>
      <c r="G278" s="19" t="n">
        <v>0</v>
      </c>
    </row>
    <row r="279" customFormat="false" ht="15" hidden="false" customHeight="false" outlineLevel="0" collapsed="false">
      <c r="A279" s="19" t="n">
        <v>346487</v>
      </c>
      <c r="B279" s="19" t="n">
        <v>22376.09</v>
      </c>
      <c r="C279" s="19" t="n">
        <v>22376.09</v>
      </c>
      <c r="D279" s="19" t="n">
        <v>0</v>
      </c>
      <c r="E279" s="19"/>
      <c r="F279" s="20" t="b">
        <f aca="false">FALSE()</f>
        <v>0</v>
      </c>
      <c r="G279" s="19" t="n">
        <v>0</v>
      </c>
    </row>
    <row r="280" customFormat="false" ht="15" hidden="false" customHeight="false" outlineLevel="0" collapsed="false">
      <c r="A280" s="19" t="n">
        <v>347621</v>
      </c>
      <c r="B280" s="19" t="n">
        <v>20061.84</v>
      </c>
      <c r="C280" s="19" t="n">
        <v>20061.84</v>
      </c>
      <c r="D280" s="19" t="n">
        <v>0</v>
      </c>
      <c r="E280" s="19"/>
      <c r="F280" s="20" t="b">
        <f aca="false">FALSE()</f>
        <v>0</v>
      </c>
      <c r="G280" s="19" t="n">
        <v>0</v>
      </c>
    </row>
    <row r="281" customFormat="false" ht="15" hidden="false" customHeight="false" outlineLevel="0" collapsed="false">
      <c r="A281" s="19" t="n">
        <v>348798</v>
      </c>
      <c r="B281" s="19" t="n">
        <v>30547.78</v>
      </c>
      <c r="C281" s="19" t="n">
        <v>30547.78</v>
      </c>
      <c r="D281" s="19" t="n">
        <v>0</v>
      </c>
      <c r="E281" s="19"/>
      <c r="F281" s="20" t="b">
        <f aca="false">FALSE()</f>
        <v>0</v>
      </c>
      <c r="G281" s="19" t="n">
        <v>0</v>
      </c>
    </row>
    <row r="282" customFormat="false" ht="15" hidden="false" customHeight="false" outlineLevel="0" collapsed="false">
      <c r="A282" s="19" t="n">
        <v>349962</v>
      </c>
      <c r="B282" s="19" t="n">
        <v>2348.61</v>
      </c>
      <c r="C282" s="19" t="n">
        <v>2348.61</v>
      </c>
      <c r="D282" s="19" t="n">
        <v>0</v>
      </c>
      <c r="E282" s="19"/>
      <c r="F282" s="20" t="b">
        <f aca="false">FALSE()</f>
        <v>0</v>
      </c>
      <c r="G282" s="19" t="n">
        <v>0</v>
      </c>
    </row>
    <row r="283" customFormat="false" ht="15" hidden="false" customHeight="false" outlineLevel="0" collapsed="false">
      <c r="A283" s="19" t="n">
        <v>351218</v>
      </c>
      <c r="B283" s="19" t="n">
        <v>4553.88</v>
      </c>
      <c r="C283" s="19" t="n">
        <v>4553.88</v>
      </c>
      <c r="D283" s="19" t="n">
        <v>0</v>
      </c>
      <c r="E283" s="19"/>
      <c r="F283" s="20" t="b">
        <f aca="false">FALSE()</f>
        <v>0</v>
      </c>
      <c r="G283" s="19" t="n">
        <v>0</v>
      </c>
    </row>
    <row r="284" customFormat="false" ht="15" hidden="false" customHeight="false" outlineLevel="0" collapsed="false">
      <c r="A284" s="19" t="n">
        <v>352366</v>
      </c>
      <c r="B284" s="19" t="n">
        <v>6700.31</v>
      </c>
      <c r="C284" s="19" t="n">
        <v>6700.31</v>
      </c>
      <c r="D284" s="19" t="n">
        <v>0</v>
      </c>
      <c r="E284" s="19"/>
      <c r="F284" s="20" t="b">
        <f aca="false">FALSE()</f>
        <v>0</v>
      </c>
      <c r="G284" s="19" t="n">
        <v>0</v>
      </c>
    </row>
    <row r="285" customFormat="false" ht="15" hidden="false" customHeight="false" outlineLevel="0" collapsed="false">
      <c r="A285" s="19" t="n">
        <v>353504</v>
      </c>
      <c r="B285" s="19" t="n">
        <v>41250.5</v>
      </c>
      <c r="C285" s="19" t="n">
        <v>41250.5</v>
      </c>
      <c r="D285" s="19" t="n">
        <v>0</v>
      </c>
      <c r="E285" s="19"/>
      <c r="F285" s="20" t="b">
        <f aca="false">FALSE()</f>
        <v>0</v>
      </c>
      <c r="G285" s="19" t="n">
        <v>0</v>
      </c>
    </row>
    <row r="286" customFormat="false" ht="15" hidden="false" customHeight="false" outlineLevel="0" collapsed="false">
      <c r="A286" s="19" t="n">
        <v>354676</v>
      </c>
      <c r="B286" s="19" t="n">
        <v>25656.28</v>
      </c>
      <c r="C286" s="19" t="n">
        <v>25656.28</v>
      </c>
      <c r="D286" s="19" t="n">
        <v>0</v>
      </c>
      <c r="E286" s="19"/>
      <c r="F286" s="20" t="b">
        <f aca="false">FALSE()</f>
        <v>0</v>
      </c>
      <c r="G286" s="19" t="n">
        <v>0</v>
      </c>
    </row>
    <row r="287" customFormat="false" ht="15" hidden="false" customHeight="false" outlineLevel="0" collapsed="false">
      <c r="A287" s="19" t="n">
        <v>355731</v>
      </c>
      <c r="B287" s="19" t="n">
        <v>15406.95</v>
      </c>
      <c r="C287" s="19" t="n">
        <v>15406.95</v>
      </c>
      <c r="D287" s="19" t="n">
        <v>0</v>
      </c>
      <c r="E287" s="19"/>
      <c r="F287" s="20" t="b">
        <f aca="false">FALSE()</f>
        <v>0</v>
      </c>
      <c r="G287" s="19" t="n">
        <v>0</v>
      </c>
    </row>
    <row r="288" customFormat="false" ht="15" hidden="false" customHeight="false" outlineLevel="0" collapsed="false">
      <c r="A288" s="19" t="n">
        <v>356815</v>
      </c>
      <c r="B288" s="19" t="n">
        <v>18587.16</v>
      </c>
      <c r="C288" s="19" t="n">
        <v>18587.16</v>
      </c>
      <c r="D288" s="19" t="n">
        <v>0</v>
      </c>
      <c r="E288" s="19"/>
      <c r="F288" s="20" t="b">
        <f aca="false">FALSE()</f>
        <v>0</v>
      </c>
      <c r="G288" s="19" t="n">
        <v>0</v>
      </c>
    </row>
    <row r="289" customFormat="false" ht="15" hidden="false" customHeight="false" outlineLevel="0" collapsed="false">
      <c r="A289" s="19" t="n">
        <v>357989</v>
      </c>
      <c r="B289" s="19" t="n">
        <v>13370.69</v>
      </c>
      <c r="C289" s="19" t="n">
        <v>13370.69</v>
      </c>
      <c r="D289" s="19" t="n">
        <v>0</v>
      </c>
      <c r="E289" s="19"/>
      <c r="F289" s="20" t="b">
        <f aca="false">FALSE()</f>
        <v>0</v>
      </c>
      <c r="G289" s="19" t="n">
        <v>0</v>
      </c>
    </row>
    <row r="290" customFormat="false" ht="15" hidden="false" customHeight="false" outlineLevel="0" collapsed="false">
      <c r="A290" s="19" t="n">
        <v>359153</v>
      </c>
      <c r="B290" s="19" t="n">
        <v>1479.33</v>
      </c>
      <c r="C290" s="19" t="n">
        <v>1479.33</v>
      </c>
      <c r="D290" s="19" t="n">
        <v>0</v>
      </c>
      <c r="E290" s="19"/>
      <c r="F290" s="20" t="b">
        <f aca="false">FALSE()</f>
        <v>0</v>
      </c>
      <c r="G290" s="19" t="n">
        <v>0</v>
      </c>
    </row>
    <row r="291" customFormat="false" ht="15" hidden="false" customHeight="false" outlineLevel="0" collapsed="false">
      <c r="A291" s="19" t="n">
        <v>360288</v>
      </c>
      <c r="B291" s="19" t="n">
        <v>6057.38</v>
      </c>
      <c r="C291" s="19" t="n">
        <v>6057.38</v>
      </c>
      <c r="D291" s="19" t="n">
        <v>0</v>
      </c>
      <c r="E291" s="19"/>
      <c r="F291" s="20" t="b">
        <f aca="false">FALSE()</f>
        <v>0</v>
      </c>
      <c r="G291" s="19" t="n">
        <v>0</v>
      </c>
    </row>
    <row r="292" customFormat="false" ht="15" hidden="false" customHeight="false" outlineLevel="0" collapsed="false">
      <c r="A292" s="19" t="n">
        <v>361472</v>
      </c>
      <c r="B292" s="19" t="n">
        <v>3139.99</v>
      </c>
      <c r="C292" s="19" t="n">
        <v>3139.99</v>
      </c>
      <c r="D292" s="19" t="n">
        <v>0</v>
      </c>
      <c r="E292" s="19"/>
      <c r="F292" s="20" t="b">
        <f aca="false">FALSE()</f>
        <v>0</v>
      </c>
      <c r="G292" s="19" t="n">
        <v>0</v>
      </c>
    </row>
    <row r="293" customFormat="false" ht="15" hidden="false" customHeight="false" outlineLevel="0" collapsed="false">
      <c r="A293" s="19" t="n">
        <v>362639</v>
      </c>
      <c r="B293" s="19" t="n">
        <v>36609.89</v>
      </c>
      <c r="C293" s="19" t="n">
        <v>36609.89</v>
      </c>
      <c r="D293" s="19" t="n">
        <v>0</v>
      </c>
      <c r="E293" s="19"/>
      <c r="F293" s="20" t="b">
        <f aca="false">FALSE()</f>
        <v>0</v>
      </c>
      <c r="G293" s="19" t="n">
        <v>0</v>
      </c>
    </row>
    <row r="294" customFormat="false" ht="15" hidden="false" customHeight="false" outlineLevel="0" collapsed="false">
      <c r="A294" s="19" t="n">
        <v>363781</v>
      </c>
      <c r="B294" s="19" t="n">
        <v>7240.06</v>
      </c>
      <c r="C294" s="19" t="n">
        <v>7240.06</v>
      </c>
      <c r="D294" s="19" t="n">
        <v>0</v>
      </c>
      <c r="E294" s="19"/>
      <c r="F294" s="20" t="b">
        <f aca="false">FALSE()</f>
        <v>0</v>
      </c>
      <c r="G294" s="19" t="n">
        <v>0</v>
      </c>
    </row>
    <row r="295" customFormat="false" ht="15" hidden="false" customHeight="false" outlineLevel="0" collapsed="false">
      <c r="A295" s="19" t="n">
        <v>364917</v>
      </c>
      <c r="B295" s="19" t="n">
        <v>71933.55</v>
      </c>
      <c r="C295" s="19" t="n">
        <v>71933.55</v>
      </c>
      <c r="D295" s="19" t="n">
        <v>0</v>
      </c>
      <c r="E295" s="19"/>
      <c r="F295" s="20" t="b">
        <f aca="false">FALSE()</f>
        <v>0</v>
      </c>
      <c r="G295" s="19" t="n">
        <v>0</v>
      </c>
    </row>
    <row r="296" customFormat="false" ht="15" hidden="false" customHeight="false" outlineLevel="0" collapsed="false">
      <c r="A296" s="19" t="n">
        <v>366125</v>
      </c>
      <c r="B296" s="19" t="n">
        <v>22118.01</v>
      </c>
      <c r="C296" s="19" t="n">
        <v>22118.01</v>
      </c>
      <c r="D296" s="19" t="n">
        <v>0</v>
      </c>
      <c r="E296" s="19"/>
      <c r="F296" s="20" t="b">
        <f aca="false">FALSE()</f>
        <v>0</v>
      </c>
      <c r="G296" s="19" t="n">
        <v>0</v>
      </c>
    </row>
    <row r="297" customFormat="false" ht="15" hidden="false" customHeight="false" outlineLevel="0" collapsed="false">
      <c r="A297" s="19" t="n">
        <v>367266</v>
      </c>
      <c r="B297" s="19" t="n">
        <v>10890.42</v>
      </c>
      <c r="C297" s="19" t="n">
        <v>10890.42</v>
      </c>
      <c r="D297" s="19" t="n">
        <v>0</v>
      </c>
      <c r="E297" s="19"/>
      <c r="F297" s="20" t="b">
        <f aca="false">FALSE()</f>
        <v>0</v>
      </c>
      <c r="G297" s="19" t="n">
        <v>0</v>
      </c>
    </row>
    <row r="298" customFormat="false" ht="15" hidden="false" customHeight="false" outlineLevel="0" collapsed="false">
      <c r="A298" s="19" t="n">
        <v>368353</v>
      </c>
      <c r="B298" s="19" t="n">
        <v>5922.12</v>
      </c>
      <c r="C298" s="19" t="n">
        <v>5922.12</v>
      </c>
      <c r="D298" s="19" t="n">
        <v>0</v>
      </c>
      <c r="E298" s="19"/>
      <c r="F298" s="20" t="b">
        <f aca="false">FALSE()</f>
        <v>0</v>
      </c>
      <c r="G298" s="19" t="n">
        <v>0</v>
      </c>
    </row>
    <row r="299" customFormat="false" ht="15" hidden="false" customHeight="false" outlineLevel="0" collapsed="false">
      <c r="A299" s="19" t="n">
        <v>369495</v>
      </c>
      <c r="B299" s="19" t="n">
        <v>1279.24</v>
      </c>
      <c r="C299" s="19" t="n">
        <v>1279.24</v>
      </c>
      <c r="D299" s="19" t="n">
        <v>0</v>
      </c>
      <c r="E299" s="19"/>
      <c r="F299" s="20" t="b">
        <f aca="false">FALSE()</f>
        <v>0</v>
      </c>
      <c r="G299" s="19" t="n">
        <v>0</v>
      </c>
    </row>
    <row r="300" customFormat="false" ht="15" hidden="false" customHeight="false" outlineLevel="0" collapsed="false">
      <c r="A300" s="19" t="n">
        <v>370658</v>
      </c>
      <c r="B300" s="19" t="n">
        <v>20694.44</v>
      </c>
      <c r="C300" s="19" t="n">
        <v>20694.44</v>
      </c>
      <c r="D300" s="19" t="n">
        <v>0</v>
      </c>
      <c r="E300" s="19"/>
      <c r="F300" s="20" t="b">
        <f aca="false">FALSE()</f>
        <v>0</v>
      </c>
      <c r="G300" s="19" t="n">
        <v>0</v>
      </c>
    </row>
    <row r="301" customFormat="false" ht="15" hidden="false" customHeight="false" outlineLevel="0" collapsed="false">
      <c r="A301" s="19" t="n">
        <v>371862</v>
      </c>
      <c r="B301" s="19" t="n">
        <v>1959.22</v>
      </c>
      <c r="C301" s="19" t="n">
        <v>1959.22</v>
      </c>
      <c r="D301" s="19" t="n">
        <v>0</v>
      </c>
      <c r="E301" s="19"/>
      <c r="F301" s="20" t="b">
        <f aca="false">FALSE()</f>
        <v>0</v>
      </c>
      <c r="G301" s="19" t="n">
        <v>0</v>
      </c>
    </row>
    <row r="302" customFormat="false" ht="15" hidden="false" customHeight="false" outlineLevel="0" collapsed="false">
      <c r="A302" s="19" t="n">
        <v>373043</v>
      </c>
      <c r="B302" s="19" t="n">
        <v>24452.31</v>
      </c>
      <c r="C302" s="19" t="n">
        <v>24452.31</v>
      </c>
      <c r="D302" s="19" t="n">
        <v>0</v>
      </c>
      <c r="E302" s="19"/>
      <c r="F302" s="20" t="b">
        <f aca="false">FALSE()</f>
        <v>0</v>
      </c>
      <c r="G302" s="19" t="n">
        <v>0</v>
      </c>
    </row>
    <row r="303" customFormat="false" ht="15" hidden="false" customHeight="false" outlineLevel="0" collapsed="false">
      <c r="A303" s="19" t="n">
        <v>374215</v>
      </c>
      <c r="B303" s="19" t="n">
        <v>5175.25</v>
      </c>
      <c r="C303" s="19" t="n">
        <v>5175.25</v>
      </c>
      <c r="D303" s="19" t="n">
        <v>0</v>
      </c>
      <c r="E303" s="19"/>
      <c r="F303" s="20" t="b">
        <f aca="false">FALSE()</f>
        <v>0</v>
      </c>
      <c r="G303" s="19" t="n">
        <v>0</v>
      </c>
    </row>
    <row r="304" customFormat="false" ht="15" hidden="false" customHeight="false" outlineLevel="0" collapsed="false">
      <c r="A304" s="19" t="n">
        <v>375407</v>
      </c>
      <c r="B304" s="19" t="n">
        <v>19801.55</v>
      </c>
      <c r="C304" s="19" t="n">
        <v>19801.55</v>
      </c>
      <c r="D304" s="19" t="n">
        <v>0</v>
      </c>
      <c r="E304" s="19"/>
      <c r="F304" s="20" t="b">
        <f aca="false">FALSE()</f>
        <v>0</v>
      </c>
      <c r="G304" s="19" t="n">
        <v>0</v>
      </c>
    </row>
    <row r="305" customFormat="false" ht="15" hidden="false" customHeight="false" outlineLevel="0" collapsed="false">
      <c r="A305" s="19" t="n">
        <v>376535</v>
      </c>
      <c r="B305" s="19" t="n">
        <v>19697.55</v>
      </c>
      <c r="C305" s="19" t="n">
        <v>19697.55</v>
      </c>
      <c r="D305" s="19" t="n">
        <v>0</v>
      </c>
      <c r="E305" s="19"/>
      <c r="F305" s="20" t="b">
        <f aca="false">FALSE()</f>
        <v>0</v>
      </c>
      <c r="G305" s="19" t="n">
        <v>0</v>
      </c>
    </row>
    <row r="306" customFormat="false" ht="15" hidden="false" customHeight="false" outlineLevel="0" collapsed="false">
      <c r="A306" s="19" t="n">
        <v>377707</v>
      </c>
      <c r="B306" s="19" t="n">
        <v>3339.58</v>
      </c>
      <c r="C306" s="19" t="n">
        <v>3339.58</v>
      </c>
      <c r="D306" s="19" t="n">
        <v>0</v>
      </c>
      <c r="E306" s="19"/>
      <c r="F306" s="20" t="b">
        <f aca="false">FALSE()</f>
        <v>0</v>
      </c>
      <c r="G306" s="19" t="n">
        <v>0</v>
      </c>
    </row>
    <row r="307" customFormat="false" ht="15" hidden="false" customHeight="false" outlineLevel="0" collapsed="false">
      <c r="A307" s="19" t="n">
        <v>378806</v>
      </c>
      <c r="B307" s="19" t="n">
        <v>7482.01</v>
      </c>
      <c r="C307" s="19" t="n">
        <v>7482.01</v>
      </c>
      <c r="D307" s="19" t="n">
        <v>0</v>
      </c>
      <c r="E307" s="19"/>
      <c r="F307" s="20" t="b">
        <f aca="false">FALSE()</f>
        <v>0</v>
      </c>
      <c r="G307" s="19" t="n">
        <v>0</v>
      </c>
    </row>
    <row r="308" customFormat="false" ht="15" hidden="false" customHeight="false" outlineLevel="0" collapsed="false">
      <c r="A308" s="19" t="n">
        <v>379982</v>
      </c>
      <c r="B308" s="19" t="n">
        <v>14731.23</v>
      </c>
      <c r="C308" s="19" t="n">
        <v>14731.23</v>
      </c>
      <c r="D308" s="19" t="n">
        <v>0</v>
      </c>
      <c r="E308" s="19"/>
      <c r="F308" s="20" t="b">
        <f aca="false">FALSE()</f>
        <v>0</v>
      </c>
      <c r="G308" s="19" t="n">
        <v>0</v>
      </c>
    </row>
    <row r="309" customFormat="false" ht="15" hidden="false" customHeight="false" outlineLevel="0" collapsed="false">
      <c r="A309" s="19" t="n">
        <v>381147</v>
      </c>
      <c r="B309" s="19" t="n">
        <v>9460.55</v>
      </c>
      <c r="C309" s="19" t="n">
        <v>9460.55</v>
      </c>
      <c r="D309" s="19" t="n">
        <v>0</v>
      </c>
      <c r="E309" s="19"/>
      <c r="F309" s="20" t="b">
        <f aca="false">FALSE()</f>
        <v>0</v>
      </c>
      <c r="G309" s="19" t="n">
        <v>0</v>
      </c>
    </row>
    <row r="310" customFormat="false" ht="15" hidden="false" customHeight="false" outlineLevel="0" collapsed="false">
      <c r="A310" s="19" t="n">
        <v>382288</v>
      </c>
      <c r="B310" s="19" t="n">
        <v>1176.54</v>
      </c>
      <c r="C310" s="19" t="n">
        <v>1176.54</v>
      </c>
      <c r="D310" s="19" t="n">
        <v>0</v>
      </c>
      <c r="E310" s="19"/>
      <c r="F310" s="20" t="b">
        <f aca="false">FALSE()</f>
        <v>0</v>
      </c>
      <c r="G310" s="19" t="n">
        <v>0</v>
      </c>
    </row>
    <row r="311" customFormat="false" ht="15" hidden="false" customHeight="false" outlineLevel="0" collapsed="false">
      <c r="A311" s="19" t="n">
        <v>383440</v>
      </c>
      <c r="B311" s="19" t="n">
        <v>2721.14</v>
      </c>
      <c r="C311" s="19" t="n">
        <v>2721.14</v>
      </c>
      <c r="D311" s="19" t="n">
        <v>0</v>
      </c>
      <c r="E311" s="19"/>
      <c r="F311" s="20" t="b">
        <f aca="false">FALSE()</f>
        <v>0</v>
      </c>
      <c r="G311" s="19" t="n">
        <v>0</v>
      </c>
    </row>
    <row r="312" customFormat="false" ht="15" hidden="false" customHeight="false" outlineLevel="0" collapsed="false">
      <c r="A312" s="19" t="n">
        <v>384516</v>
      </c>
      <c r="B312" s="19" t="n">
        <v>23295.81</v>
      </c>
      <c r="C312" s="19" t="n">
        <v>23295.81</v>
      </c>
      <c r="D312" s="19" t="n">
        <v>0</v>
      </c>
      <c r="E312" s="19"/>
      <c r="F312" s="20" t="b">
        <f aca="false">FALSE()</f>
        <v>0</v>
      </c>
      <c r="G312" s="19" t="n">
        <v>0</v>
      </c>
    </row>
    <row r="313" customFormat="false" ht="15" hidden="false" customHeight="false" outlineLevel="0" collapsed="false">
      <c r="A313" s="19" t="n">
        <v>385556</v>
      </c>
      <c r="B313" s="19" t="n">
        <v>5413.72</v>
      </c>
      <c r="C313" s="19" t="n">
        <v>5413.72</v>
      </c>
      <c r="D313" s="19" t="n">
        <v>0</v>
      </c>
      <c r="E313" s="19"/>
      <c r="F313" s="20" t="b">
        <f aca="false">FALSE()</f>
        <v>0</v>
      </c>
      <c r="G313" s="19" t="n">
        <v>0</v>
      </c>
    </row>
    <row r="314" customFormat="false" ht="15" hidden="false" customHeight="false" outlineLevel="0" collapsed="false">
      <c r="A314" s="19" t="n">
        <v>386649</v>
      </c>
      <c r="B314" s="19" t="n">
        <v>3660.26</v>
      </c>
      <c r="C314" s="19" t="n">
        <v>3660.26</v>
      </c>
      <c r="D314" s="19" t="n">
        <v>0</v>
      </c>
      <c r="E314" s="19"/>
      <c r="F314" s="20" t="b">
        <f aca="false">FALSE()</f>
        <v>0</v>
      </c>
      <c r="G314" s="19" t="n">
        <v>0</v>
      </c>
    </row>
    <row r="315" customFormat="false" ht="15" hidden="false" customHeight="false" outlineLevel="0" collapsed="false">
      <c r="A315" s="19" t="n">
        <v>387749</v>
      </c>
      <c r="B315" s="19" t="n">
        <v>2564.03</v>
      </c>
      <c r="C315" s="19" t="n">
        <v>2564.03</v>
      </c>
      <c r="D315" s="19" t="n">
        <v>0</v>
      </c>
      <c r="E315" s="19"/>
      <c r="F315" s="20" t="b">
        <f aca="false">FALSE()</f>
        <v>0</v>
      </c>
      <c r="G315" s="19" t="n">
        <v>0</v>
      </c>
    </row>
    <row r="316" customFormat="false" ht="15" hidden="false" customHeight="false" outlineLevel="0" collapsed="false">
      <c r="A316" s="19" t="n">
        <v>388981</v>
      </c>
      <c r="B316" s="19" t="n">
        <v>5697.86</v>
      </c>
      <c r="C316" s="19" t="n">
        <v>5697.86</v>
      </c>
      <c r="D316" s="19" t="n">
        <v>0</v>
      </c>
      <c r="E316" s="19"/>
      <c r="F316" s="20" t="b">
        <f aca="false">FALSE()</f>
        <v>0</v>
      </c>
      <c r="G316" s="19" t="n">
        <v>0</v>
      </c>
    </row>
    <row r="317" customFormat="false" ht="15" hidden="false" customHeight="false" outlineLevel="0" collapsed="false">
      <c r="A317" s="19" t="n">
        <v>390164</v>
      </c>
      <c r="B317" s="19" t="n">
        <v>95364.89</v>
      </c>
      <c r="C317" s="19" t="n">
        <v>95364.89</v>
      </c>
      <c r="D317" s="19" t="n">
        <v>0</v>
      </c>
      <c r="E317" s="19"/>
      <c r="F317" s="20" t="b">
        <f aca="false">FALSE()</f>
        <v>0</v>
      </c>
      <c r="G317" s="19" t="n">
        <v>0</v>
      </c>
    </row>
    <row r="318" customFormat="false" ht="15" hidden="false" customHeight="false" outlineLevel="0" collapsed="false">
      <c r="A318" s="19" t="n">
        <v>391255</v>
      </c>
      <c r="B318" s="19" t="n">
        <v>15081.66</v>
      </c>
      <c r="C318" s="19" t="n">
        <v>15081.66</v>
      </c>
      <c r="D318" s="19" t="n">
        <v>0</v>
      </c>
      <c r="E318" s="19"/>
      <c r="F318" s="20" t="b">
        <f aca="false">FALSE()</f>
        <v>0</v>
      </c>
      <c r="G318" s="19" t="n">
        <v>0</v>
      </c>
    </row>
    <row r="319" customFormat="false" ht="15" hidden="false" customHeight="false" outlineLevel="0" collapsed="false">
      <c r="A319" s="19" t="n">
        <v>392417</v>
      </c>
      <c r="B319" s="19" t="n">
        <v>15377.25</v>
      </c>
      <c r="C319" s="19" t="n">
        <v>15377.25</v>
      </c>
      <c r="D319" s="19" t="n">
        <v>0</v>
      </c>
      <c r="E319" s="19"/>
      <c r="F319" s="20" t="b">
        <f aca="false">FALSE()</f>
        <v>0</v>
      </c>
      <c r="G319" s="19" t="n">
        <v>0</v>
      </c>
    </row>
    <row r="320" customFormat="false" ht="15" hidden="false" customHeight="false" outlineLevel="0" collapsed="false">
      <c r="A320" s="19" t="n">
        <v>393537</v>
      </c>
      <c r="B320" s="19" t="n">
        <v>27149.14</v>
      </c>
      <c r="C320" s="19" t="n">
        <v>27149.14</v>
      </c>
      <c r="D320" s="19" t="n">
        <v>0</v>
      </c>
      <c r="E320" s="19"/>
      <c r="F320" s="20" t="b">
        <f aca="false">FALSE()</f>
        <v>0</v>
      </c>
      <c r="G320" s="19" t="n">
        <v>0</v>
      </c>
    </row>
    <row r="321" customFormat="false" ht="15" hidden="false" customHeight="false" outlineLevel="0" collapsed="false">
      <c r="A321" s="19" t="n">
        <v>394739</v>
      </c>
      <c r="B321" s="19" t="n">
        <v>842.35</v>
      </c>
      <c r="C321" s="19" t="n">
        <v>842.35</v>
      </c>
      <c r="D321" s="19" t="n">
        <v>0</v>
      </c>
      <c r="E321" s="19"/>
      <c r="F321" s="20" t="b">
        <f aca="false">FALSE()</f>
        <v>0</v>
      </c>
      <c r="G321" s="19" t="n">
        <v>0</v>
      </c>
    </row>
    <row r="322" customFormat="false" ht="15" hidden="false" customHeight="false" outlineLevel="0" collapsed="false">
      <c r="A322" s="19" t="n">
        <v>396039</v>
      </c>
      <c r="B322" s="19" t="n">
        <v>4531.87</v>
      </c>
      <c r="C322" s="19" t="n">
        <v>4531.87</v>
      </c>
      <c r="D322" s="19" t="n">
        <v>0</v>
      </c>
      <c r="E322" s="19"/>
      <c r="F322" s="20" t="b">
        <f aca="false">FALSE()</f>
        <v>0</v>
      </c>
      <c r="G322" s="19" t="n">
        <v>0</v>
      </c>
    </row>
    <row r="323" customFormat="false" ht="15" hidden="false" customHeight="false" outlineLevel="0" collapsed="false">
      <c r="A323" s="19" t="n">
        <v>397201</v>
      </c>
      <c r="B323" s="19" t="n">
        <v>19822.96</v>
      </c>
      <c r="C323" s="19" t="n">
        <v>19822.96</v>
      </c>
      <c r="D323" s="19" t="n">
        <v>0</v>
      </c>
      <c r="E323" s="19"/>
      <c r="F323" s="20" t="b">
        <f aca="false">FALSE()</f>
        <v>0</v>
      </c>
      <c r="G323" s="19" t="n">
        <v>0</v>
      </c>
    </row>
    <row r="324" customFormat="false" ht="15" hidden="false" customHeight="false" outlineLevel="0" collapsed="false">
      <c r="A324" s="19" t="n">
        <v>398429</v>
      </c>
      <c r="B324" s="19" t="n">
        <v>36898.86</v>
      </c>
      <c r="C324" s="19" t="n">
        <v>36898.86</v>
      </c>
      <c r="D324" s="19" t="n">
        <v>0</v>
      </c>
      <c r="E324" s="19"/>
      <c r="F324" s="20" t="b">
        <f aca="false">FALSE()</f>
        <v>0</v>
      </c>
      <c r="G324" s="19" t="n">
        <v>0</v>
      </c>
    </row>
    <row r="325" customFormat="false" ht="15" hidden="false" customHeight="false" outlineLevel="0" collapsed="false">
      <c r="A325" s="19" t="n">
        <v>399566</v>
      </c>
      <c r="B325" s="19" t="n">
        <v>204930.25</v>
      </c>
      <c r="C325" s="19" t="n">
        <v>204930.25</v>
      </c>
      <c r="D325" s="19" t="n">
        <v>0</v>
      </c>
      <c r="E325" s="19"/>
      <c r="F325" s="20" t="b">
        <f aca="false">FALSE()</f>
        <v>0</v>
      </c>
      <c r="G325" s="19" t="n">
        <v>0</v>
      </c>
    </row>
    <row r="326" customFormat="false" ht="15" hidden="false" customHeight="false" outlineLevel="0" collapsed="false">
      <c r="A326" s="19" t="n">
        <v>400216</v>
      </c>
      <c r="B326" s="19" t="n">
        <v>16972.47</v>
      </c>
      <c r="C326" s="19" t="n">
        <v>16972.47</v>
      </c>
      <c r="D326" s="19" t="n">
        <v>0</v>
      </c>
      <c r="E326" s="19"/>
      <c r="F326" s="20" t="b">
        <f aca="false">FALSE()</f>
        <v>0</v>
      </c>
      <c r="G326" s="19" t="n">
        <v>0</v>
      </c>
    </row>
    <row r="327" customFormat="false" ht="15" hidden="false" customHeight="false" outlineLevel="0" collapsed="false">
      <c r="A327" s="19" t="n">
        <v>400657</v>
      </c>
      <c r="B327" s="19" t="n">
        <v>9231.91</v>
      </c>
      <c r="C327" s="19" t="n">
        <v>9231.91</v>
      </c>
      <c r="D327" s="19" t="n">
        <v>0</v>
      </c>
      <c r="E327" s="19"/>
      <c r="F327" s="20" t="b">
        <f aca="false">FALSE()</f>
        <v>0</v>
      </c>
      <c r="G327" s="19" t="n">
        <v>0</v>
      </c>
    </row>
    <row r="328" customFormat="false" ht="15" hidden="false" customHeight="false" outlineLevel="0" collapsed="false">
      <c r="A328" s="19" t="n">
        <v>401052</v>
      </c>
      <c r="B328" s="19" t="n">
        <v>3633.2</v>
      </c>
      <c r="C328" s="19" t="n">
        <v>3633.2</v>
      </c>
      <c r="D328" s="19" t="n">
        <v>0</v>
      </c>
      <c r="E328" s="19"/>
      <c r="F328" s="20" t="b">
        <f aca="false">FALSE()</f>
        <v>0</v>
      </c>
      <c r="G328" s="19" t="n">
        <v>0</v>
      </c>
    </row>
    <row r="329" customFormat="false" ht="15" hidden="false" customHeight="false" outlineLevel="0" collapsed="false">
      <c r="A329" s="19" t="n">
        <v>401489</v>
      </c>
      <c r="B329" s="19" t="n">
        <v>10678.83</v>
      </c>
      <c r="C329" s="19" t="n">
        <v>10678.83</v>
      </c>
      <c r="D329" s="19" t="n">
        <v>0</v>
      </c>
      <c r="E329" s="19"/>
      <c r="F329" s="20" t="b">
        <f aca="false">FALSE()</f>
        <v>0</v>
      </c>
      <c r="G329" s="19" t="n">
        <v>0</v>
      </c>
    </row>
    <row r="330" customFormat="false" ht="15" hidden="false" customHeight="false" outlineLevel="0" collapsed="false">
      <c r="A330" s="19" t="n">
        <v>402010</v>
      </c>
      <c r="B330" s="19" t="n">
        <v>165989.2</v>
      </c>
      <c r="C330" s="19" t="n">
        <v>165989.2</v>
      </c>
      <c r="D330" s="19" t="n">
        <v>0</v>
      </c>
      <c r="E330" s="19"/>
      <c r="F330" s="20" t="b">
        <f aca="false">FALSE()</f>
        <v>0</v>
      </c>
      <c r="G330" s="19" t="n">
        <v>0</v>
      </c>
    </row>
    <row r="331" customFormat="false" ht="15" hidden="false" customHeight="false" outlineLevel="0" collapsed="false">
      <c r="A331" s="19" t="n">
        <v>402471</v>
      </c>
      <c r="B331" s="19" t="n">
        <v>156669.82</v>
      </c>
      <c r="C331" s="19" t="n">
        <v>156669.82</v>
      </c>
      <c r="D331" s="19" t="n">
        <v>0</v>
      </c>
      <c r="E331" s="19"/>
      <c r="F331" s="20" t="b">
        <f aca="false">FALSE()</f>
        <v>0</v>
      </c>
      <c r="G331" s="19" t="n">
        <v>0</v>
      </c>
    </row>
    <row r="332" customFormat="false" ht="15" hidden="false" customHeight="false" outlineLevel="0" collapsed="false">
      <c r="A332" s="19" t="n">
        <v>402914</v>
      </c>
      <c r="B332" s="19" t="n">
        <v>6742.31</v>
      </c>
      <c r="C332" s="19" t="n">
        <v>6742.31</v>
      </c>
      <c r="D332" s="19" t="n">
        <v>0</v>
      </c>
      <c r="E332" s="19"/>
      <c r="F332" s="20" t="b">
        <f aca="false">FALSE()</f>
        <v>0</v>
      </c>
      <c r="G332" s="19" t="n">
        <v>0</v>
      </c>
    </row>
    <row r="333" customFormat="false" ht="15" hidden="false" customHeight="false" outlineLevel="0" collapsed="false">
      <c r="A333" s="19" t="n">
        <v>403350</v>
      </c>
      <c r="B333" s="19" t="n">
        <v>26459.27</v>
      </c>
      <c r="C333" s="19" t="n">
        <v>26459.27</v>
      </c>
      <c r="D333" s="19" t="n">
        <v>0</v>
      </c>
      <c r="E333" s="19"/>
      <c r="F333" s="20" t="b">
        <f aca="false">FALSE()</f>
        <v>0</v>
      </c>
      <c r="G333" s="19" t="n">
        <v>0</v>
      </c>
    </row>
    <row r="334" customFormat="false" ht="15" hidden="false" customHeight="false" outlineLevel="0" collapsed="false">
      <c r="A334" s="19" t="n">
        <v>403794</v>
      </c>
      <c r="B334" s="19" t="n">
        <v>6223.76</v>
      </c>
      <c r="C334" s="19" t="n">
        <v>6223.76</v>
      </c>
      <c r="D334" s="19" t="n">
        <v>0</v>
      </c>
      <c r="E334" s="19"/>
      <c r="F334" s="20" t="b">
        <f aca="false">FALSE()</f>
        <v>0</v>
      </c>
      <c r="G334" s="19" t="n">
        <v>0</v>
      </c>
    </row>
    <row r="335" customFormat="false" ht="15" hidden="false" customHeight="false" outlineLevel="0" collapsed="false">
      <c r="A335" s="19" t="n">
        <v>404163</v>
      </c>
      <c r="B335" s="19" t="n">
        <v>33599.65</v>
      </c>
      <c r="C335" s="19" t="n">
        <v>33599.65</v>
      </c>
      <c r="D335" s="19" t="n">
        <v>0</v>
      </c>
      <c r="E335" s="19"/>
      <c r="F335" s="20" t="b">
        <f aca="false">FALSE()</f>
        <v>0</v>
      </c>
      <c r="G335" s="19" t="n">
        <v>0</v>
      </c>
    </row>
    <row r="336" customFormat="false" ht="15" hidden="false" customHeight="false" outlineLevel="0" collapsed="false">
      <c r="A336" s="19" t="n">
        <v>404643</v>
      </c>
      <c r="B336" s="19" t="n">
        <v>12954.54</v>
      </c>
      <c r="C336" s="19" t="n">
        <v>12954.54</v>
      </c>
      <c r="D336" s="19" t="n">
        <v>0</v>
      </c>
      <c r="E336" s="19"/>
      <c r="F336" s="20" t="b">
        <f aca="false">FALSE()</f>
        <v>0</v>
      </c>
      <c r="G336" s="19" t="n">
        <v>0</v>
      </c>
    </row>
    <row r="337" customFormat="false" ht="15" hidden="false" customHeight="false" outlineLevel="0" collapsed="false">
      <c r="A337" s="19" t="n">
        <v>405163</v>
      </c>
      <c r="B337" s="19" t="n">
        <v>170561.56</v>
      </c>
      <c r="C337" s="19" t="n">
        <v>170561.56</v>
      </c>
      <c r="D337" s="19" t="n">
        <v>0</v>
      </c>
      <c r="E337" s="19"/>
      <c r="F337" s="20" t="b">
        <f aca="false">FALSE()</f>
        <v>0</v>
      </c>
      <c r="G337" s="19" t="n">
        <v>0</v>
      </c>
    </row>
    <row r="338" customFormat="false" ht="15" hidden="false" customHeight="false" outlineLevel="0" collapsed="false">
      <c r="A338" s="19" t="n">
        <v>405587</v>
      </c>
      <c r="B338" s="19" t="n">
        <v>30586.94</v>
      </c>
      <c r="C338" s="19" t="n">
        <v>30586.94</v>
      </c>
      <c r="D338" s="19" t="n">
        <v>0</v>
      </c>
      <c r="E338" s="19"/>
      <c r="F338" s="20" t="b">
        <f aca="false">FALSE()</f>
        <v>0</v>
      </c>
      <c r="G338" s="19" t="n">
        <v>0</v>
      </c>
    </row>
    <row r="339" customFormat="false" ht="15" hidden="false" customHeight="false" outlineLevel="0" collapsed="false">
      <c r="A339" s="19" t="n">
        <v>406028</v>
      </c>
      <c r="B339" s="19" t="n">
        <v>3996.48</v>
      </c>
      <c r="C339" s="19" t="n">
        <v>3996.48</v>
      </c>
      <c r="D339" s="19" t="n">
        <v>0</v>
      </c>
      <c r="E339" s="19"/>
      <c r="F339" s="20" t="b">
        <f aca="false">FALSE()</f>
        <v>0</v>
      </c>
      <c r="G339" s="19" t="n">
        <v>0</v>
      </c>
    </row>
    <row r="340" customFormat="false" ht="15" hidden="false" customHeight="false" outlineLevel="0" collapsed="false">
      <c r="A340" s="19" t="n">
        <v>406446</v>
      </c>
      <c r="B340" s="19" t="n">
        <v>2140.05</v>
      </c>
      <c r="C340" s="19" t="n">
        <v>2140.05</v>
      </c>
      <c r="D340" s="19" t="n">
        <v>0</v>
      </c>
      <c r="E340" s="19"/>
      <c r="F340" s="20" t="b">
        <f aca="false">FALSE()</f>
        <v>0</v>
      </c>
      <c r="G340" s="19" t="n">
        <v>0</v>
      </c>
    </row>
    <row r="341" customFormat="false" ht="15" hidden="false" customHeight="false" outlineLevel="0" collapsed="false">
      <c r="A341" s="19" t="n">
        <v>406952</v>
      </c>
      <c r="B341" s="19" t="n">
        <v>16474.67</v>
      </c>
      <c r="C341" s="19" t="n">
        <v>16474.67</v>
      </c>
      <c r="D341" s="19" t="n">
        <v>0</v>
      </c>
      <c r="E341" s="19"/>
      <c r="F341" s="20" t="b">
        <f aca="false">FALSE()</f>
        <v>0</v>
      </c>
      <c r="G341" s="19" t="n">
        <v>0</v>
      </c>
    </row>
    <row r="342" customFormat="false" ht="15" hidden="false" customHeight="false" outlineLevel="0" collapsed="false">
      <c r="A342" s="19" t="n">
        <v>407418</v>
      </c>
      <c r="B342" s="19" t="n">
        <v>18300.76</v>
      </c>
      <c r="C342" s="19" t="n">
        <v>18300.76</v>
      </c>
      <c r="D342" s="19" t="n">
        <v>0</v>
      </c>
      <c r="E342" s="19"/>
      <c r="F342" s="20" t="b">
        <f aca="false">FALSE()</f>
        <v>0</v>
      </c>
      <c r="G342" s="19" t="n">
        <v>0</v>
      </c>
    </row>
    <row r="343" customFormat="false" ht="15" hidden="false" customHeight="false" outlineLevel="0" collapsed="false">
      <c r="A343" s="19" t="n">
        <v>407865</v>
      </c>
      <c r="B343" s="19" t="n">
        <v>4281.64</v>
      </c>
      <c r="C343" s="19" t="n">
        <v>4281.64</v>
      </c>
      <c r="D343" s="19" t="n">
        <v>0</v>
      </c>
      <c r="E343" s="19"/>
      <c r="F343" s="20" t="b">
        <f aca="false">FALSE()</f>
        <v>0</v>
      </c>
      <c r="G343" s="19" t="n">
        <v>0</v>
      </c>
    </row>
    <row r="344" customFormat="false" ht="15" hidden="false" customHeight="false" outlineLevel="0" collapsed="false">
      <c r="A344" s="19" t="n">
        <v>408302</v>
      </c>
      <c r="B344" s="19" t="n">
        <v>83108.51</v>
      </c>
      <c r="C344" s="19" t="n">
        <v>83108.51</v>
      </c>
      <c r="D344" s="19" t="n">
        <v>0</v>
      </c>
      <c r="E344" s="19"/>
      <c r="F344" s="20" t="b">
        <f aca="false">FALSE()</f>
        <v>0</v>
      </c>
      <c r="G344" s="19" t="n">
        <v>0</v>
      </c>
    </row>
    <row r="345" customFormat="false" ht="15" hidden="false" customHeight="false" outlineLevel="0" collapsed="false">
      <c r="A345" s="19" t="n">
        <v>408710</v>
      </c>
      <c r="B345" s="19" t="n">
        <v>35000</v>
      </c>
      <c r="C345" s="19" t="n">
        <v>35000</v>
      </c>
      <c r="D345" s="19" t="n">
        <v>0</v>
      </c>
      <c r="E345" s="19"/>
      <c r="F345" s="20" t="b">
        <f aca="false">FALSE()</f>
        <v>0</v>
      </c>
      <c r="G345" s="19" t="n">
        <v>0</v>
      </c>
    </row>
    <row r="346" customFormat="false" ht="15" hidden="false" customHeight="false" outlineLevel="0" collapsed="false">
      <c r="A346" s="19" t="n">
        <v>409127</v>
      </c>
      <c r="B346" s="19" t="n">
        <v>10599.27</v>
      </c>
      <c r="C346" s="19" t="n">
        <v>10599.27</v>
      </c>
      <c r="D346" s="19" t="n">
        <v>0</v>
      </c>
      <c r="E346" s="19"/>
      <c r="F346" s="20" t="b">
        <f aca="false">FALSE()</f>
        <v>0</v>
      </c>
      <c r="G346" s="19" t="n">
        <v>0</v>
      </c>
    </row>
    <row r="347" customFormat="false" ht="15" hidden="false" customHeight="false" outlineLevel="0" collapsed="false">
      <c r="A347" s="19" t="n">
        <v>409545</v>
      </c>
      <c r="B347" s="19" t="n">
        <v>11208.42</v>
      </c>
      <c r="C347" s="19" t="n">
        <v>11208.42</v>
      </c>
      <c r="D347" s="19" t="n">
        <v>0</v>
      </c>
      <c r="E347" s="19"/>
      <c r="F347" s="20" t="b">
        <f aca="false">FALSE()</f>
        <v>0</v>
      </c>
      <c r="G347" s="19" t="n">
        <v>0</v>
      </c>
    </row>
    <row r="348" customFormat="false" ht="15" hidden="false" customHeight="false" outlineLevel="0" collapsed="false">
      <c r="A348" s="19" t="n">
        <v>409967</v>
      </c>
      <c r="B348" s="19" t="n">
        <v>23919.41</v>
      </c>
      <c r="C348" s="19" t="n">
        <v>23919.41</v>
      </c>
      <c r="D348" s="19" t="n">
        <v>0</v>
      </c>
      <c r="E348" s="19"/>
      <c r="F348" s="20" t="b">
        <f aca="false">FALSE()</f>
        <v>0</v>
      </c>
      <c r="G348" s="19" t="n">
        <v>0</v>
      </c>
    </row>
    <row r="349" customFormat="false" ht="15" hidden="false" customHeight="false" outlineLevel="0" collapsed="false">
      <c r="A349" s="19" t="n">
        <v>410424</v>
      </c>
      <c r="B349" s="19" t="n">
        <v>104549.49</v>
      </c>
      <c r="C349" s="19" t="n">
        <v>104549.49</v>
      </c>
      <c r="D349" s="19" t="n">
        <v>0</v>
      </c>
      <c r="E349" s="19"/>
      <c r="F349" s="20" t="b">
        <f aca="false">FALSE()</f>
        <v>0</v>
      </c>
      <c r="G349" s="19" t="n">
        <v>0</v>
      </c>
    </row>
    <row r="350" customFormat="false" ht="15" hidden="false" customHeight="false" outlineLevel="0" collapsed="false">
      <c r="A350" s="19" t="n">
        <v>410936</v>
      </c>
      <c r="B350" s="19" t="n">
        <v>5085.98</v>
      </c>
      <c r="C350" s="19" t="n">
        <v>5085.98</v>
      </c>
      <c r="D350" s="19" t="n">
        <v>0</v>
      </c>
      <c r="E350" s="19"/>
      <c r="F350" s="20" t="b">
        <f aca="false">FALSE()</f>
        <v>0</v>
      </c>
      <c r="G350" s="19" t="n">
        <v>0</v>
      </c>
    </row>
    <row r="351" customFormat="false" ht="15" hidden="false" customHeight="false" outlineLevel="0" collapsed="false">
      <c r="A351" s="19" t="n">
        <v>411421</v>
      </c>
      <c r="B351" s="19" t="n">
        <v>21254.84</v>
      </c>
      <c r="C351" s="19" t="n">
        <v>21254.84</v>
      </c>
      <c r="D351" s="19" t="n">
        <v>0</v>
      </c>
      <c r="E351" s="19"/>
      <c r="F351" s="20" t="b">
        <f aca="false">FALSE()</f>
        <v>0</v>
      </c>
      <c r="G351" s="19" t="n">
        <v>0</v>
      </c>
    </row>
    <row r="352" customFormat="false" ht="15" hidden="false" customHeight="false" outlineLevel="0" collapsed="false">
      <c r="A352" s="19" t="n">
        <v>411852</v>
      </c>
      <c r="B352" s="19" t="n">
        <v>5669.15</v>
      </c>
      <c r="C352" s="19" t="n">
        <v>5669.15</v>
      </c>
      <c r="D352" s="19" t="n">
        <v>0</v>
      </c>
      <c r="E352" s="19"/>
      <c r="F352" s="20" t="b">
        <f aca="false">FALSE()</f>
        <v>0</v>
      </c>
      <c r="G352" s="19" t="n">
        <v>0</v>
      </c>
    </row>
    <row r="353" customFormat="false" ht="15" hidden="false" customHeight="false" outlineLevel="0" collapsed="false">
      <c r="A353" s="19" t="n">
        <v>412347</v>
      </c>
      <c r="B353" s="19" t="n">
        <v>127181.62</v>
      </c>
      <c r="C353" s="19" t="n">
        <v>127181.62</v>
      </c>
      <c r="D353" s="19" t="n">
        <v>0</v>
      </c>
      <c r="E353" s="19"/>
      <c r="F353" s="20" t="b">
        <f aca="false">FALSE()</f>
        <v>0</v>
      </c>
      <c r="G353" s="19" t="n">
        <v>0</v>
      </c>
    </row>
    <row r="354" customFormat="false" ht="15" hidden="false" customHeight="false" outlineLevel="0" collapsed="false">
      <c r="A354" s="19" t="n">
        <v>412781</v>
      </c>
      <c r="B354" s="19" t="n">
        <v>9033.21</v>
      </c>
      <c r="C354" s="19" t="n">
        <v>9033.21</v>
      </c>
      <c r="D354" s="19" t="n">
        <v>0</v>
      </c>
      <c r="E354" s="19"/>
      <c r="F354" s="20" t="b">
        <f aca="false">FALSE()</f>
        <v>0</v>
      </c>
      <c r="G354" s="19" t="n">
        <v>0</v>
      </c>
    </row>
    <row r="355" customFormat="false" ht="15" hidden="false" customHeight="false" outlineLevel="0" collapsed="false">
      <c r="A355" s="19" t="n">
        <v>413239</v>
      </c>
      <c r="B355" s="19" t="n">
        <v>26006.01</v>
      </c>
      <c r="C355" s="19" t="n">
        <v>26006.01</v>
      </c>
      <c r="D355" s="19" t="n">
        <v>0</v>
      </c>
      <c r="E355" s="19"/>
      <c r="F355" s="20" t="b">
        <f aca="false">FALSE()</f>
        <v>0</v>
      </c>
      <c r="G355" s="19" t="n">
        <v>0</v>
      </c>
    </row>
    <row r="356" customFormat="false" ht="15" hidden="false" customHeight="false" outlineLevel="0" collapsed="false">
      <c r="A356" s="19" t="n">
        <v>413688</v>
      </c>
      <c r="B356" s="19" t="n">
        <v>1868.68</v>
      </c>
      <c r="C356" s="19" t="n">
        <v>1868.68</v>
      </c>
      <c r="D356" s="19" t="n">
        <v>0</v>
      </c>
      <c r="E356" s="19"/>
      <c r="F356" s="20" t="b">
        <f aca="false">FALSE()</f>
        <v>0</v>
      </c>
      <c r="G356" s="19" t="n">
        <v>0</v>
      </c>
    </row>
    <row r="357" customFormat="false" ht="15" hidden="false" customHeight="false" outlineLevel="0" collapsed="false">
      <c r="A357" s="19" t="n">
        <v>414168</v>
      </c>
      <c r="B357" s="19" t="n">
        <v>57989.24</v>
      </c>
      <c r="C357" s="19" t="n">
        <v>57989.24</v>
      </c>
      <c r="D357" s="19" t="n">
        <v>0</v>
      </c>
      <c r="E357" s="19"/>
      <c r="F357" s="20" t="b">
        <f aca="false">FALSE()</f>
        <v>0</v>
      </c>
      <c r="G357" s="19" t="n">
        <v>0</v>
      </c>
    </row>
    <row r="358" customFormat="false" ht="15" hidden="false" customHeight="false" outlineLevel="0" collapsed="false">
      <c r="A358" s="19" t="n">
        <v>414645</v>
      </c>
      <c r="B358" s="19" t="n">
        <v>302425.5</v>
      </c>
      <c r="C358" s="19" t="n">
        <v>302425.5</v>
      </c>
      <c r="D358" s="19" t="n">
        <v>0</v>
      </c>
      <c r="E358" s="19"/>
      <c r="F358" s="20" t="b">
        <f aca="false">FALSE()</f>
        <v>0</v>
      </c>
      <c r="G358" s="19" t="n">
        <v>0</v>
      </c>
    </row>
    <row r="359" customFormat="false" ht="15" hidden="false" customHeight="false" outlineLevel="0" collapsed="false">
      <c r="A359" s="19" t="n">
        <v>415145</v>
      </c>
      <c r="B359" s="19" t="n">
        <v>12588.86</v>
      </c>
      <c r="C359" s="19" t="n">
        <v>12588.86</v>
      </c>
      <c r="D359" s="19" t="n">
        <v>0</v>
      </c>
      <c r="E359" s="19"/>
      <c r="F359" s="20" t="b">
        <f aca="false">FALSE()</f>
        <v>0</v>
      </c>
      <c r="G359" s="19" t="n">
        <v>0</v>
      </c>
    </row>
    <row r="360" customFormat="false" ht="15" hidden="false" customHeight="false" outlineLevel="0" collapsed="false">
      <c r="A360" s="19" t="n">
        <v>415620</v>
      </c>
      <c r="B360" s="19" t="n">
        <v>10493.62</v>
      </c>
      <c r="C360" s="19" t="n">
        <v>10493.62</v>
      </c>
      <c r="D360" s="19" t="n">
        <v>0</v>
      </c>
      <c r="E360" s="19"/>
      <c r="F360" s="20" t="b">
        <f aca="false">FALSE()</f>
        <v>0</v>
      </c>
      <c r="G360" s="19" t="n">
        <v>0</v>
      </c>
    </row>
    <row r="361" customFormat="false" ht="15" hidden="false" customHeight="false" outlineLevel="0" collapsed="false">
      <c r="A361" s="19" t="n">
        <v>416030</v>
      </c>
      <c r="B361" s="19" t="n">
        <v>424700.04</v>
      </c>
      <c r="C361" s="19" t="n">
        <v>333942.96</v>
      </c>
      <c r="D361" s="19" t="n">
        <v>90757.08</v>
      </c>
      <c r="E361" s="19" t="s">
        <v>110</v>
      </c>
      <c r="F361" s="20" t="b">
        <f aca="false">FALSE()</f>
        <v>0</v>
      </c>
      <c r="G361" s="19" t="n">
        <v>0.213696895342887</v>
      </c>
    </row>
    <row r="362" customFormat="false" ht="15" hidden="false" customHeight="false" outlineLevel="0" collapsed="false">
      <c r="A362" s="19" t="n">
        <v>416485</v>
      </c>
      <c r="B362" s="19" t="n">
        <v>67914.94</v>
      </c>
      <c r="C362" s="19" t="n">
        <v>67914.94</v>
      </c>
      <c r="D362" s="19" t="n">
        <v>0</v>
      </c>
      <c r="E362" s="19"/>
      <c r="F362" s="20" t="b">
        <f aca="false">FALSE()</f>
        <v>0</v>
      </c>
      <c r="G362" s="19" t="n">
        <v>0</v>
      </c>
    </row>
    <row r="363" customFormat="false" ht="15" hidden="false" customHeight="false" outlineLevel="0" collapsed="false">
      <c r="A363" s="19" t="n">
        <v>416922</v>
      </c>
      <c r="B363" s="19" t="n">
        <v>40827.64</v>
      </c>
      <c r="C363" s="19" t="n">
        <v>40827.64</v>
      </c>
      <c r="D363" s="19" t="n">
        <v>0</v>
      </c>
      <c r="E363" s="19"/>
      <c r="F363" s="20" t="b">
        <f aca="false">FALSE()</f>
        <v>0</v>
      </c>
      <c r="G363" s="19" t="n">
        <v>0</v>
      </c>
    </row>
    <row r="364" customFormat="false" ht="15" hidden="false" customHeight="false" outlineLevel="0" collapsed="false">
      <c r="A364" s="19" t="n">
        <v>417361</v>
      </c>
      <c r="B364" s="19" t="n">
        <v>67161.85</v>
      </c>
      <c r="C364" s="19" t="n">
        <v>67161.85</v>
      </c>
      <c r="D364" s="19" t="n">
        <v>0</v>
      </c>
      <c r="E364" s="19"/>
      <c r="F364" s="20" t="b">
        <f aca="false">FALSE()</f>
        <v>0</v>
      </c>
      <c r="G364" s="19" t="n">
        <v>0</v>
      </c>
    </row>
    <row r="365" customFormat="false" ht="15" hidden="false" customHeight="false" outlineLevel="0" collapsed="false">
      <c r="A365" s="19" t="n">
        <v>417818</v>
      </c>
      <c r="B365" s="19" t="n">
        <v>41044.63</v>
      </c>
      <c r="C365" s="19" t="n">
        <v>41044.63</v>
      </c>
      <c r="D365" s="19" t="n">
        <v>0</v>
      </c>
      <c r="E365" s="19"/>
      <c r="F365" s="20" t="b">
        <f aca="false">FALSE()</f>
        <v>0</v>
      </c>
      <c r="G365" s="19" t="n">
        <v>0</v>
      </c>
    </row>
    <row r="366" customFormat="false" ht="15" hidden="false" customHeight="false" outlineLevel="0" collapsed="false">
      <c r="A366" s="19" t="n">
        <v>418230</v>
      </c>
      <c r="B366" s="19" t="n">
        <v>23000.7</v>
      </c>
      <c r="C366" s="19" t="n">
        <v>23000.7</v>
      </c>
      <c r="D366" s="19" t="n">
        <v>0</v>
      </c>
      <c r="E366" s="19"/>
      <c r="F366" s="20" t="b">
        <f aca="false">FALSE()</f>
        <v>0</v>
      </c>
      <c r="G366" s="19" t="n">
        <v>0</v>
      </c>
    </row>
    <row r="367" customFormat="false" ht="15" hidden="false" customHeight="false" outlineLevel="0" collapsed="false">
      <c r="A367" s="19" t="n">
        <v>418697</v>
      </c>
      <c r="B367" s="19" t="n">
        <v>9391.03</v>
      </c>
      <c r="C367" s="19" t="n">
        <v>9391.03</v>
      </c>
      <c r="D367" s="19" t="n">
        <v>0</v>
      </c>
      <c r="E367" s="19"/>
      <c r="F367" s="20" t="b">
        <f aca="false">FALSE()</f>
        <v>0</v>
      </c>
      <c r="G367" s="19" t="n">
        <v>0</v>
      </c>
    </row>
    <row r="368" customFormat="false" ht="15" hidden="false" customHeight="false" outlineLevel="0" collapsed="false">
      <c r="A368" s="19" t="n">
        <v>419158</v>
      </c>
      <c r="B368" s="19" t="n">
        <v>101208.55</v>
      </c>
      <c r="C368" s="19" t="n">
        <v>101208.55</v>
      </c>
      <c r="D368" s="19" t="n">
        <v>0</v>
      </c>
      <c r="E368" s="19"/>
      <c r="F368" s="20" t="b">
        <f aca="false">FALSE()</f>
        <v>0</v>
      </c>
      <c r="G368" s="19" t="n">
        <v>0</v>
      </c>
    </row>
    <row r="369" customFormat="false" ht="15" hidden="false" customHeight="false" outlineLevel="0" collapsed="false">
      <c r="A369" s="19" t="n">
        <v>419644</v>
      </c>
      <c r="B369" s="19" t="n">
        <v>33701.06</v>
      </c>
      <c r="C369" s="19" t="n">
        <v>33701.06</v>
      </c>
      <c r="D369" s="19" t="n">
        <v>0</v>
      </c>
      <c r="E369" s="19"/>
      <c r="F369" s="20" t="b">
        <f aca="false">FALSE()</f>
        <v>0</v>
      </c>
      <c r="G369" s="19" t="n">
        <v>0</v>
      </c>
    </row>
    <row r="370" customFormat="false" ht="15" hidden="false" customHeight="false" outlineLevel="0" collapsed="false">
      <c r="A370" s="19" t="n">
        <v>420147</v>
      </c>
      <c r="B370" s="19" t="n">
        <v>14843.99</v>
      </c>
      <c r="C370" s="19" t="n">
        <v>14843.99</v>
      </c>
      <c r="D370" s="19" t="n">
        <v>0</v>
      </c>
      <c r="E370" s="19"/>
      <c r="F370" s="20" t="b">
        <f aca="false">FALSE()</f>
        <v>0</v>
      </c>
      <c r="G370" s="19" t="n">
        <v>0</v>
      </c>
    </row>
    <row r="371" customFormat="false" ht="15" hidden="false" customHeight="false" outlineLevel="0" collapsed="false">
      <c r="A371" s="19" t="n">
        <v>420615</v>
      </c>
      <c r="B371" s="19" t="n">
        <v>37735.03</v>
      </c>
      <c r="C371" s="19" t="n">
        <v>37735.03</v>
      </c>
      <c r="D371" s="19" t="n">
        <v>0</v>
      </c>
      <c r="E371" s="19"/>
      <c r="F371" s="20" t="b">
        <f aca="false">FALSE()</f>
        <v>0</v>
      </c>
      <c r="G371" s="19" t="n">
        <v>0</v>
      </c>
    </row>
    <row r="372" customFormat="false" ht="15" hidden="false" customHeight="false" outlineLevel="0" collapsed="false">
      <c r="A372" s="19" t="n">
        <v>421079</v>
      </c>
      <c r="B372" s="19" t="n">
        <v>103097.96</v>
      </c>
      <c r="C372" s="19" t="n">
        <v>103097.96</v>
      </c>
      <c r="D372" s="19" t="n">
        <v>0</v>
      </c>
      <c r="E372" s="19"/>
      <c r="F372" s="20" t="b">
        <f aca="false">FALSE()</f>
        <v>0</v>
      </c>
      <c r="G372" s="19" t="n">
        <v>0</v>
      </c>
    </row>
    <row r="373" customFormat="false" ht="15" hidden="false" customHeight="false" outlineLevel="0" collapsed="false">
      <c r="A373" s="19" t="n">
        <v>421570</v>
      </c>
      <c r="B373" s="19" t="n">
        <v>177300.37</v>
      </c>
      <c r="C373" s="19" t="n">
        <v>177300.37</v>
      </c>
      <c r="D373" s="19" t="n">
        <v>0</v>
      </c>
      <c r="E373" s="19"/>
      <c r="F373" s="20" t="b">
        <f aca="false">FALSE()</f>
        <v>0</v>
      </c>
      <c r="G373" s="19" t="n">
        <v>0</v>
      </c>
    </row>
    <row r="374" customFormat="false" ht="15" hidden="false" customHeight="false" outlineLevel="0" collapsed="false">
      <c r="A374" s="19" t="n">
        <v>422052</v>
      </c>
      <c r="B374" s="19" t="n">
        <v>1347.83</v>
      </c>
      <c r="C374" s="19" t="n">
        <v>1347.83</v>
      </c>
      <c r="D374" s="19" t="n">
        <v>0</v>
      </c>
      <c r="E374" s="19"/>
      <c r="F374" s="20" t="b">
        <f aca="false">FALSE()</f>
        <v>0</v>
      </c>
      <c r="G374" s="19" t="n">
        <v>0</v>
      </c>
    </row>
    <row r="375" customFormat="false" ht="15" hidden="false" customHeight="false" outlineLevel="0" collapsed="false">
      <c r="A375" s="19" t="n">
        <v>422496</v>
      </c>
      <c r="B375" s="19" t="n">
        <v>8418.06</v>
      </c>
      <c r="C375" s="19" t="n">
        <v>8418.06</v>
      </c>
      <c r="D375" s="19" t="n">
        <v>0</v>
      </c>
      <c r="E375" s="19"/>
      <c r="F375" s="20" t="b">
        <f aca="false">FALSE()</f>
        <v>0</v>
      </c>
      <c r="G375" s="19" t="n">
        <v>0</v>
      </c>
    </row>
    <row r="376" customFormat="false" ht="15" hidden="false" customHeight="false" outlineLevel="0" collapsed="false">
      <c r="A376" s="19" t="n">
        <v>422944</v>
      </c>
      <c r="B376" s="19" t="n">
        <v>7978.7</v>
      </c>
      <c r="C376" s="19" t="n">
        <v>7978.7</v>
      </c>
      <c r="D376" s="19" t="n">
        <v>0</v>
      </c>
      <c r="E376" s="19"/>
      <c r="F376" s="20" t="b">
        <f aca="false">FALSE()</f>
        <v>0</v>
      </c>
      <c r="G376" s="19" t="n">
        <v>0</v>
      </c>
    </row>
    <row r="377" customFormat="false" ht="15" hidden="false" customHeight="false" outlineLevel="0" collapsed="false">
      <c r="A377" s="19" t="n">
        <v>423302</v>
      </c>
      <c r="B377" s="19" t="n">
        <v>4114.15</v>
      </c>
      <c r="C377" s="19" t="n">
        <v>4114.15</v>
      </c>
      <c r="D377" s="19" t="n">
        <v>0</v>
      </c>
      <c r="E377" s="19"/>
      <c r="F377" s="20" t="b">
        <f aca="false">FALSE()</f>
        <v>0</v>
      </c>
      <c r="G377" s="19" t="n">
        <v>0</v>
      </c>
    </row>
    <row r="378" customFormat="false" ht="15" hidden="false" customHeight="false" outlineLevel="0" collapsed="false">
      <c r="A378" s="19" t="n">
        <v>423758</v>
      </c>
      <c r="B378" s="19" t="n">
        <v>46569.87</v>
      </c>
      <c r="C378" s="19" t="n">
        <v>46569.87</v>
      </c>
      <c r="D378" s="19" t="n">
        <v>0</v>
      </c>
      <c r="E378" s="19"/>
      <c r="F378" s="20" t="b">
        <f aca="false">FALSE()</f>
        <v>0</v>
      </c>
      <c r="G378" s="19" t="n">
        <v>0</v>
      </c>
    </row>
    <row r="379" customFormat="false" ht="15" hidden="false" customHeight="false" outlineLevel="0" collapsed="false">
      <c r="A379" s="19" t="n">
        <v>424260</v>
      </c>
      <c r="B379" s="19" t="n">
        <v>13091.24</v>
      </c>
      <c r="C379" s="19" t="n">
        <v>13091.24</v>
      </c>
      <c r="D379" s="19" t="n">
        <v>0</v>
      </c>
      <c r="E379" s="19"/>
      <c r="F379" s="20" t="b">
        <f aca="false">FALSE()</f>
        <v>0</v>
      </c>
      <c r="G379" s="19" t="n">
        <v>0</v>
      </c>
    </row>
    <row r="380" customFormat="false" ht="15" hidden="false" customHeight="false" outlineLevel="0" collapsed="false">
      <c r="A380" s="19" t="n">
        <v>424690</v>
      </c>
      <c r="B380" s="19" t="n">
        <v>38180.69</v>
      </c>
      <c r="C380" s="19" t="n">
        <v>38180.69</v>
      </c>
      <c r="D380" s="19" t="n">
        <v>0</v>
      </c>
      <c r="E380" s="19"/>
      <c r="F380" s="20" t="b">
        <f aca="false">FALSE()</f>
        <v>0</v>
      </c>
      <c r="G380" s="19" t="n">
        <v>0</v>
      </c>
    </row>
    <row r="381" customFormat="false" ht="15" hidden="false" customHeight="false" outlineLevel="0" collapsed="false">
      <c r="A381" s="19" t="n">
        <v>425182</v>
      </c>
      <c r="B381" s="19" t="n">
        <v>17544.77</v>
      </c>
      <c r="C381" s="19" t="n">
        <v>17544.77</v>
      </c>
      <c r="D381" s="19" t="n">
        <v>0</v>
      </c>
      <c r="E381" s="19"/>
      <c r="F381" s="20" t="b">
        <f aca="false">FALSE()</f>
        <v>0</v>
      </c>
      <c r="G381" s="19" t="n">
        <v>0</v>
      </c>
    </row>
    <row r="382" customFormat="false" ht="15" hidden="false" customHeight="false" outlineLevel="0" collapsed="false">
      <c r="A382" s="19" t="n">
        <v>425608</v>
      </c>
      <c r="B382" s="19" t="n">
        <v>57000</v>
      </c>
      <c r="C382" s="19" t="n">
        <v>57000</v>
      </c>
      <c r="D382" s="19" t="n">
        <v>0</v>
      </c>
      <c r="E382" s="19"/>
      <c r="F382" s="20" t="b">
        <f aca="false">FALSE()</f>
        <v>0</v>
      </c>
      <c r="G382" s="19" t="n">
        <v>0</v>
      </c>
    </row>
    <row r="383" customFormat="false" ht="15" hidden="false" customHeight="false" outlineLevel="0" collapsed="false">
      <c r="A383" s="19" t="n">
        <v>426053</v>
      </c>
      <c r="B383" s="19" t="n">
        <v>231634.05</v>
      </c>
      <c r="C383" s="19" t="n">
        <v>231634.05</v>
      </c>
      <c r="D383" s="19" t="n">
        <v>0</v>
      </c>
      <c r="E383" s="19"/>
      <c r="F383" s="20" t="b">
        <f aca="false">FALSE()</f>
        <v>0</v>
      </c>
      <c r="G383" s="19" t="n">
        <v>0</v>
      </c>
    </row>
    <row r="384" customFormat="false" ht="15" hidden="false" customHeight="false" outlineLevel="0" collapsed="false">
      <c r="A384" s="19" t="n">
        <v>426540</v>
      </c>
      <c r="B384" s="19" t="n">
        <v>9841.93</v>
      </c>
      <c r="C384" s="19" t="n">
        <v>9841.93</v>
      </c>
      <c r="D384" s="19" t="n">
        <v>0</v>
      </c>
      <c r="E384" s="19"/>
      <c r="F384" s="20" t="b">
        <f aca="false">FALSE()</f>
        <v>0</v>
      </c>
      <c r="G384" s="19" t="n">
        <v>0</v>
      </c>
    </row>
    <row r="385" customFormat="false" ht="15" hidden="false" customHeight="false" outlineLevel="0" collapsed="false">
      <c r="A385" s="19" t="n">
        <v>427001</v>
      </c>
      <c r="B385" s="19" t="n">
        <v>22370.95</v>
      </c>
      <c r="C385" s="19" t="n">
        <v>22370.95</v>
      </c>
      <c r="D385" s="19" t="n">
        <v>0</v>
      </c>
      <c r="E385" s="19"/>
      <c r="F385" s="20" t="b">
        <f aca="false">FALSE()</f>
        <v>0</v>
      </c>
      <c r="G385" s="19" t="n">
        <v>0</v>
      </c>
    </row>
    <row r="386" customFormat="false" ht="15" hidden="false" customHeight="false" outlineLevel="0" collapsed="false">
      <c r="A386" s="19" t="n">
        <v>427455</v>
      </c>
      <c r="B386" s="19" t="n">
        <v>4192.6</v>
      </c>
      <c r="C386" s="19" t="n">
        <v>4192.6</v>
      </c>
      <c r="D386" s="19" t="n">
        <v>0</v>
      </c>
      <c r="E386" s="19"/>
      <c r="F386" s="20" t="b">
        <f aca="false">FALSE()</f>
        <v>0</v>
      </c>
      <c r="G386" s="19" t="n">
        <v>0</v>
      </c>
    </row>
    <row r="387" customFormat="false" ht="15" hidden="false" customHeight="false" outlineLevel="0" collapsed="false">
      <c r="A387" s="19" t="n">
        <v>427922</v>
      </c>
      <c r="B387" s="19" t="n">
        <v>5778.53</v>
      </c>
      <c r="C387" s="19" t="n">
        <v>5778.53</v>
      </c>
      <c r="D387" s="19" t="n">
        <v>0</v>
      </c>
      <c r="E387" s="19"/>
      <c r="F387" s="20" t="b">
        <f aca="false">FALSE()</f>
        <v>0</v>
      </c>
      <c r="G387" s="19" t="n">
        <v>0</v>
      </c>
    </row>
    <row r="388" customFormat="false" ht="15" hidden="false" customHeight="false" outlineLevel="0" collapsed="false">
      <c r="A388" s="19" t="n">
        <v>428442</v>
      </c>
      <c r="B388" s="19" t="n">
        <v>87567.01</v>
      </c>
      <c r="C388" s="19" t="n">
        <v>87567.01</v>
      </c>
      <c r="D388" s="19" t="n">
        <v>0</v>
      </c>
      <c r="E388" s="19"/>
      <c r="F388" s="20" t="b">
        <f aca="false">FALSE()</f>
        <v>0</v>
      </c>
      <c r="G388" s="19" t="n">
        <v>0</v>
      </c>
    </row>
    <row r="389" customFormat="false" ht="15" hidden="false" customHeight="false" outlineLevel="0" collapsed="false">
      <c r="A389" s="19" t="n">
        <v>428907</v>
      </c>
      <c r="B389" s="19" t="n">
        <v>196473.87</v>
      </c>
      <c r="C389" s="19" t="n">
        <v>196473.87</v>
      </c>
      <c r="D389" s="19" t="n">
        <v>0</v>
      </c>
      <c r="E389" s="19"/>
      <c r="F389" s="20" t="b">
        <f aca="false">FALSE()</f>
        <v>0</v>
      </c>
      <c r="G389" s="19" t="n">
        <v>0</v>
      </c>
    </row>
    <row r="390" customFormat="false" ht="15" hidden="false" customHeight="false" outlineLevel="0" collapsed="false">
      <c r="A390" s="19" t="n">
        <v>429361</v>
      </c>
      <c r="B390" s="19" t="n">
        <v>12120.51</v>
      </c>
      <c r="C390" s="19" t="n">
        <v>12120.51</v>
      </c>
      <c r="D390" s="19" t="n">
        <v>0</v>
      </c>
      <c r="E390" s="19"/>
      <c r="F390" s="20" t="b">
        <f aca="false">FALSE()</f>
        <v>0</v>
      </c>
      <c r="G390" s="19" t="n">
        <v>0</v>
      </c>
    </row>
    <row r="391" customFormat="false" ht="15" hidden="false" customHeight="false" outlineLevel="0" collapsed="false">
      <c r="A391" s="19" t="n">
        <v>429814</v>
      </c>
      <c r="B391" s="19" t="n">
        <v>12901.87</v>
      </c>
      <c r="C391" s="19" t="n">
        <v>12901.87</v>
      </c>
      <c r="D391" s="19" t="n">
        <v>0</v>
      </c>
      <c r="E391" s="19"/>
      <c r="F391" s="20" t="b">
        <f aca="false">FALSE()</f>
        <v>0</v>
      </c>
      <c r="G391" s="19" t="n">
        <v>0</v>
      </c>
    </row>
    <row r="392" customFormat="false" ht="15" hidden="false" customHeight="false" outlineLevel="0" collapsed="false">
      <c r="A392" s="19" t="n">
        <v>430266</v>
      </c>
      <c r="B392" s="19" t="n">
        <v>53676.35</v>
      </c>
      <c r="C392" s="19" t="n">
        <v>53676.35</v>
      </c>
      <c r="D392" s="19" t="n">
        <v>0</v>
      </c>
      <c r="E392" s="19"/>
      <c r="F392" s="20" t="b">
        <f aca="false">FALSE()</f>
        <v>0</v>
      </c>
      <c r="G392" s="19" t="n">
        <v>0</v>
      </c>
    </row>
    <row r="393" customFormat="false" ht="15" hidden="false" customHeight="false" outlineLevel="0" collapsed="false">
      <c r="A393" s="19" t="n">
        <v>430719</v>
      </c>
      <c r="B393" s="19" t="n">
        <v>22607.35</v>
      </c>
      <c r="C393" s="19" t="n">
        <v>22607.35</v>
      </c>
      <c r="D393" s="19" t="n">
        <v>0</v>
      </c>
      <c r="E393" s="19"/>
      <c r="F393" s="20" t="b">
        <f aca="false">FALSE()</f>
        <v>0</v>
      </c>
      <c r="G393" s="19" t="n">
        <v>0</v>
      </c>
    </row>
    <row r="394" customFormat="false" ht="15" hidden="false" customHeight="false" outlineLevel="0" collapsed="false">
      <c r="A394" s="19" t="n">
        <v>431059</v>
      </c>
      <c r="B394" s="19" t="n">
        <v>100002.3</v>
      </c>
      <c r="C394" s="19" t="n">
        <v>100002.3</v>
      </c>
      <c r="D394" s="19" t="n">
        <v>0</v>
      </c>
      <c r="E394" s="19"/>
      <c r="F394" s="20" t="b">
        <f aca="false">FALSE()</f>
        <v>0</v>
      </c>
      <c r="G394" s="19" t="n">
        <v>0</v>
      </c>
    </row>
    <row r="395" customFormat="false" ht="15" hidden="false" customHeight="false" outlineLevel="0" collapsed="false">
      <c r="A395" s="19" t="n">
        <v>431539</v>
      </c>
      <c r="B395" s="19" t="n">
        <v>37967.48</v>
      </c>
      <c r="C395" s="19" t="n">
        <v>37967.48</v>
      </c>
      <c r="D395" s="19" t="n">
        <v>0</v>
      </c>
      <c r="E395" s="19"/>
      <c r="F395" s="20" t="b">
        <f aca="false">FALSE()</f>
        <v>0</v>
      </c>
      <c r="G395" s="19" t="n">
        <v>0</v>
      </c>
    </row>
    <row r="396" customFormat="false" ht="15" hidden="false" customHeight="false" outlineLevel="0" collapsed="false">
      <c r="A396" s="19" t="n">
        <v>432010</v>
      </c>
      <c r="B396" s="19" t="n">
        <v>31324.4</v>
      </c>
      <c r="C396" s="19" t="n">
        <v>31324.4</v>
      </c>
      <c r="D396" s="19" t="n">
        <v>0</v>
      </c>
      <c r="E396" s="19"/>
      <c r="F396" s="20" t="b">
        <f aca="false">FALSE()</f>
        <v>0</v>
      </c>
      <c r="G396" s="19" t="n">
        <v>0</v>
      </c>
    </row>
    <row r="397" customFormat="false" ht="15" hidden="false" customHeight="false" outlineLevel="0" collapsed="false">
      <c r="A397" s="19" t="n">
        <v>432497</v>
      </c>
      <c r="B397" s="19" t="n">
        <v>296540.69</v>
      </c>
      <c r="C397" s="19" t="n">
        <v>296540.69</v>
      </c>
      <c r="D397" s="19" t="n">
        <v>0</v>
      </c>
      <c r="E397" s="19"/>
      <c r="F397" s="20" t="b">
        <f aca="false">FALSE()</f>
        <v>0</v>
      </c>
      <c r="G397" s="19" t="n">
        <v>0</v>
      </c>
    </row>
    <row r="398" customFormat="false" ht="15" hidden="false" customHeight="false" outlineLevel="0" collapsed="false">
      <c r="A398" s="19" t="n">
        <v>432949</v>
      </c>
      <c r="B398" s="19" t="n">
        <v>721255.91</v>
      </c>
      <c r="C398" s="19" t="n">
        <v>654784.58</v>
      </c>
      <c r="D398" s="19" t="n">
        <v>66471.33</v>
      </c>
      <c r="E398" s="19" t="s">
        <v>110</v>
      </c>
      <c r="F398" s="20" t="b">
        <f aca="false">FALSE()</f>
        <v>0</v>
      </c>
      <c r="G398" s="19" t="n">
        <v>0.0921605342547557</v>
      </c>
    </row>
    <row r="399" customFormat="false" ht="15" hidden="false" customHeight="false" outlineLevel="0" collapsed="false">
      <c r="A399" s="19" t="n">
        <v>433383</v>
      </c>
      <c r="B399" s="19" t="n">
        <v>10617.54</v>
      </c>
      <c r="C399" s="19" t="n">
        <v>10617.54</v>
      </c>
      <c r="D399" s="19" t="n">
        <v>0</v>
      </c>
      <c r="E399" s="19"/>
      <c r="F399" s="20" t="b">
        <f aca="false">FALSE()</f>
        <v>0</v>
      </c>
      <c r="G399" s="19" t="n">
        <v>0</v>
      </c>
    </row>
    <row r="400" customFormat="false" ht="15" hidden="false" customHeight="false" outlineLevel="0" collapsed="false">
      <c r="A400" s="19" t="n">
        <v>433864</v>
      </c>
      <c r="B400" s="19" t="n">
        <v>13544.42</v>
      </c>
      <c r="C400" s="19" t="n">
        <v>13544.42</v>
      </c>
      <c r="D400" s="19" t="n">
        <v>0</v>
      </c>
      <c r="E400" s="19"/>
      <c r="F400" s="20" t="b">
        <f aca="false">FALSE()</f>
        <v>0</v>
      </c>
      <c r="G400" s="19" t="n">
        <v>0</v>
      </c>
    </row>
    <row r="401" customFormat="false" ht="15" hidden="false" customHeight="false" outlineLevel="0" collapsed="false">
      <c r="A401" s="19" t="n">
        <v>434288</v>
      </c>
      <c r="B401" s="19" t="n">
        <v>5529.44</v>
      </c>
      <c r="C401" s="19" t="n">
        <v>5529.44</v>
      </c>
      <c r="D401" s="19" t="n">
        <v>0</v>
      </c>
      <c r="E401" s="19"/>
      <c r="F401" s="20" t="b">
        <f aca="false">FALSE()</f>
        <v>0</v>
      </c>
      <c r="G401" s="19" t="n">
        <v>0</v>
      </c>
    </row>
    <row r="402" customFormat="false" ht="15" hidden="false" customHeight="false" outlineLevel="0" collapsed="false">
      <c r="A402" s="19" t="n">
        <v>434822</v>
      </c>
      <c r="B402" s="19" t="n">
        <v>42571.25</v>
      </c>
      <c r="C402" s="19" t="n">
        <v>42571.25</v>
      </c>
      <c r="D402" s="19" t="n">
        <v>0</v>
      </c>
      <c r="E402" s="19"/>
      <c r="F402" s="20" t="b">
        <f aca="false">FALSE()</f>
        <v>0</v>
      </c>
      <c r="G402" s="19" t="n">
        <v>0</v>
      </c>
    </row>
    <row r="403" customFormat="false" ht="15" hidden="false" customHeight="false" outlineLevel="0" collapsed="false">
      <c r="A403" s="19" t="n">
        <v>435271</v>
      </c>
      <c r="B403" s="19" t="n">
        <v>17597.15</v>
      </c>
      <c r="C403" s="19" t="n">
        <v>17597.15</v>
      </c>
      <c r="D403" s="19" t="n">
        <v>0</v>
      </c>
      <c r="E403" s="19"/>
      <c r="F403" s="20" t="b">
        <f aca="false">FALSE()</f>
        <v>0</v>
      </c>
      <c r="G403" s="19" t="n">
        <v>0</v>
      </c>
    </row>
    <row r="404" customFormat="false" ht="15" hidden="false" customHeight="false" outlineLevel="0" collapsed="false">
      <c r="A404" s="19" t="n">
        <v>435737</v>
      </c>
      <c r="B404" s="19" t="n">
        <v>166406.39</v>
      </c>
      <c r="C404" s="19" t="n">
        <v>166406.39</v>
      </c>
      <c r="D404" s="19" t="n">
        <v>0</v>
      </c>
      <c r="E404" s="19"/>
      <c r="F404" s="20" t="b">
        <f aca="false">FALSE()</f>
        <v>0</v>
      </c>
      <c r="G404" s="19" t="n">
        <v>0</v>
      </c>
    </row>
    <row r="405" customFormat="false" ht="15" hidden="false" customHeight="false" outlineLevel="0" collapsed="false">
      <c r="A405" s="19" t="n">
        <v>436131</v>
      </c>
      <c r="B405" s="19" t="n">
        <v>46808.35</v>
      </c>
      <c r="C405" s="19" t="n">
        <v>46808.35</v>
      </c>
      <c r="D405" s="19" t="n">
        <v>46808.35</v>
      </c>
      <c r="E405" s="19" t="s">
        <v>109</v>
      </c>
      <c r="F405" s="20" t="b">
        <f aca="false">TRUE()</f>
        <v>1</v>
      </c>
      <c r="G405" s="19" t="n">
        <v>1</v>
      </c>
    </row>
    <row r="406" customFormat="false" ht="15" hidden="false" customHeight="false" outlineLevel="0" collapsed="false">
      <c r="A406" s="19" t="n">
        <v>436544</v>
      </c>
      <c r="B406" s="19" t="n">
        <v>33463.93</v>
      </c>
      <c r="C406" s="19" t="n">
        <v>33463.93</v>
      </c>
      <c r="D406" s="19" t="n">
        <v>0</v>
      </c>
      <c r="E406" s="19"/>
      <c r="F406" s="20" t="b">
        <f aca="false">FALSE()</f>
        <v>0</v>
      </c>
      <c r="G406" s="19" t="n">
        <v>0</v>
      </c>
    </row>
    <row r="407" customFormat="false" ht="15" hidden="false" customHeight="false" outlineLevel="0" collapsed="false">
      <c r="A407" s="19" t="n">
        <v>436939</v>
      </c>
      <c r="B407" s="19" t="n">
        <v>42547.38</v>
      </c>
      <c r="C407" s="19" t="n">
        <v>42547.38</v>
      </c>
      <c r="D407" s="19" t="n">
        <v>0</v>
      </c>
      <c r="E407" s="19"/>
      <c r="F407" s="20" t="b">
        <f aca="false">FALSE()</f>
        <v>0</v>
      </c>
      <c r="G407" s="19" t="n">
        <v>0</v>
      </c>
    </row>
    <row r="408" customFormat="false" ht="15" hidden="false" customHeight="false" outlineLevel="0" collapsed="false">
      <c r="A408" s="19" t="n">
        <v>437467</v>
      </c>
      <c r="B408" s="19" t="n">
        <v>7758.23</v>
      </c>
      <c r="C408" s="19" t="n">
        <v>7758.23</v>
      </c>
      <c r="D408" s="19" t="n">
        <v>0</v>
      </c>
      <c r="E408" s="19"/>
      <c r="F408" s="20" t="b">
        <f aca="false">FALSE()</f>
        <v>0</v>
      </c>
      <c r="G408" s="19" t="n">
        <v>0</v>
      </c>
    </row>
    <row r="409" customFormat="false" ht="15" hidden="false" customHeight="false" outlineLevel="0" collapsed="false">
      <c r="A409" s="19" t="n">
        <v>437980</v>
      </c>
      <c r="B409" s="19" t="n">
        <v>36003.74</v>
      </c>
      <c r="C409" s="19" t="n">
        <v>36003.74</v>
      </c>
      <c r="D409" s="19" t="n">
        <v>0</v>
      </c>
      <c r="E409" s="19"/>
      <c r="F409" s="20" t="b">
        <f aca="false">FALSE()</f>
        <v>0</v>
      </c>
      <c r="G409" s="19" t="n">
        <v>0</v>
      </c>
    </row>
    <row r="410" customFormat="false" ht="15" hidden="false" customHeight="false" outlineLevel="0" collapsed="false">
      <c r="A410" s="19" t="n">
        <v>438461</v>
      </c>
      <c r="B410" s="19" t="n">
        <v>12578.73</v>
      </c>
      <c r="C410" s="19" t="n">
        <v>12578.73</v>
      </c>
      <c r="D410" s="19" t="n">
        <v>0</v>
      </c>
      <c r="E410" s="19"/>
      <c r="F410" s="20" t="b">
        <f aca="false">FALSE()</f>
        <v>0</v>
      </c>
      <c r="G410" s="19" t="n">
        <v>0</v>
      </c>
    </row>
    <row r="411" customFormat="false" ht="15" hidden="false" customHeight="false" outlineLevel="0" collapsed="false">
      <c r="A411" s="19" t="n">
        <v>438848</v>
      </c>
      <c r="B411" s="19" t="n">
        <v>11706.85</v>
      </c>
      <c r="C411" s="19" t="n">
        <v>11706.85</v>
      </c>
      <c r="D411" s="19" t="n">
        <v>0</v>
      </c>
      <c r="E411" s="19"/>
      <c r="F411" s="20" t="b">
        <f aca="false">FALSE()</f>
        <v>0</v>
      </c>
      <c r="G411" s="19" t="n">
        <v>0</v>
      </c>
    </row>
    <row r="412" customFormat="false" ht="15" hidden="false" customHeight="false" outlineLevel="0" collapsed="false">
      <c r="A412" s="19" t="n">
        <v>439268</v>
      </c>
      <c r="B412" s="19" t="n">
        <v>45239.14</v>
      </c>
      <c r="C412" s="19" t="n">
        <v>45239.14</v>
      </c>
      <c r="D412" s="19" t="n">
        <v>0</v>
      </c>
      <c r="E412" s="19"/>
      <c r="F412" s="20" t="b">
        <f aca="false">FALSE()</f>
        <v>0</v>
      </c>
      <c r="G412" s="19" t="n">
        <v>0</v>
      </c>
    </row>
    <row r="413" customFormat="false" ht="15" hidden="false" customHeight="false" outlineLevel="0" collapsed="false">
      <c r="A413" s="19" t="n">
        <v>439700</v>
      </c>
      <c r="B413" s="19" t="n">
        <v>36968.65</v>
      </c>
      <c r="C413" s="19" t="n">
        <v>36968.65</v>
      </c>
      <c r="D413" s="19" t="n">
        <v>0</v>
      </c>
      <c r="E413" s="19"/>
      <c r="F413" s="20" t="b">
        <f aca="false">FALSE()</f>
        <v>0</v>
      </c>
      <c r="G413" s="19" t="n">
        <v>0</v>
      </c>
    </row>
    <row r="414" customFormat="false" ht="15" hidden="false" customHeight="false" outlineLevel="0" collapsed="false">
      <c r="A414" s="19" t="n">
        <v>440200</v>
      </c>
      <c r="B414" s="19" t="n">
        <v>28475.15</v>
      </c>
      <c r="C414" s="19" t="n">
        <v>28475.15</v>
      </c>
      <c r="D414" s="19" t="n">
        <v>0</v>
      </c>
      <c r="E414" s="19"/>
      <c r="F414" s="20" t="b">
        <f aca="false">FALSE()</f>
        <v>0</v>
      </c>
      <c r="G414" s="19" t="n">
        <v>0</v>
      </c>
    </row>
    <row r="415" customFormat="false" ht="15" hidden="false" customHeight="false" outlineLevel="0" collapsed="false">
      <c r="A415" s="19" t="n">
        <v>440680</v>
      </c>
      <c r="B415" s="19" t="n">
        <v>35693.93</v>
      </c>
      <c r="C415" s="19" t="n">
        <v>35693.93</v>
      </c>
      <c r="D415" s="19" t="n">
        <v>0</v>
      </c>
      <c r="E415" s="19"/>
      <c r="F415" s="20" t="b">
        <f aca="false">FALSE()</f>
        <v>0</v>
      </c>
      <c r="G415" s="19" t="n">
        <v>0</v>
      </c>
    </row>
    <row r="416" customFormat="false" ht="15" hidden="false" customHeight="false" outlineLevel="0" collapsed="false">
      <c r="A416" s="19" t="n">
        <v>441102</v>
      </c>
      <c r="B416" s="19" t="n">
        <v>2019.69</v>
      </c>
      <c r="C416" s="19" t="n">
        <v>2019.69</v>
      </c>
      <c r="D416" s="19" t="n">
        <v>0</v>
      </c>
      <c r="E416" s="19"/>
      <c r="F416" s="20" t="b">
        <f aca="false">FALSE()</f>
        <v>0</v>
      </c>
      <c r="G416" s="19" t="n">
        <v>0</v>
      </c>
    </row>
    <row r="417" customFormat="false" ht="15" hidden="false" customHeight="false" outlineLevel="0" collapsed="false">
      <c r="A417" s="19" t="n">
        <v>441584</v>
      </c>
      <c r="B417" s="19" t="n">
        <v>175295.96</v>
      </c>
      <c r="C417" s="19" t="n">
        <v>175295.96</v>
      </c>
      <c r="D417" s="19" t="n">
        <v>0</v>
      </c>
      <c r="E417" s="19"/>
      <c r="F417" s="20" t="b">
        <f aca="false">FALSE()</f>
        <v>0</v>
      </c>
      <c r="G417" s="19" t="n">
        <v>0</v>
      </c>
    </row>
    <row r="418" customFormat="false" ht="15" hidden="false" customHeight="false" outlineLevel="0" collapsed="false">
      <c r="A418" s="19" t="n">
        <v>442076</v>
      </c>
      <c r="B418" s="19" t="n">
        <v>6974.79</v>
      </c>
      <c r="C418" s="19" t="n">
        <v>6974.79</v>
      </c>
      <c r="D418" s="19" t="n">
        <v>0</v>
      </c>
      <c r="E418" s="19"/>
      <c r="F418" s="20" t="b">
        <f aca="false">FALSE()</f>
        <v>0</v>
      </c>
      <c r="G418" s="19" t="n">
        <v>0</v>
      </c>
    </row>
    <row r="419" customFormat="false" ht="15" hidden="false" customHeight="false" outlineLevel="0" collapsed="false">
      <c r="A419" s="19" t="n">
        <v>442542</v>
      </c>
      <c r="B419" s="19" t="n">
        <v>158231.23</v>
      </c>
      <c r="C419" s="19" t="n">
        <v>158231.23</v>
      </c>
      <c r="D419" s="19" t="n">
        <v>0</v>
      </c>
      <c r="E419" s="19"/>
      <c r="F419" s="20" t="b">
        <f aca="false">FALSE()</f>
        <v>0</v>
      </c>
      <c r="G419" s="19" t="n">
        <v>0</v>
      </c>
    </row>
    <row r="420" customFormat="false" ht="15" hidden="false" customHeight="false" outlineLevel="0" collapsed="false">
      <c r="A420" s="19" t="n">
        <v>442937</v>
      </c>
      <c r="B420" s="19" t="n">
        <v>43242.69</v>
      </c>
      <c r="C420" s="19" t="n">
        <v>43242.69</v>
      </c>
      <c r="D420" s="19" t="n">
        <v>0</v>
      </c>
      <c r="E420" s="19"/>
      <c r="F420" s="20" t="b">
        <f aca="false">FALSE()</f>
        <v>0</v>
      </c>
      <c r="G420" s="19" t="n">
        <v>0</v>
      </c>
    </row>
    <row r="421" customFormat="false" ht="15" hidden="false" customHeight="false" outlineLevel="0" collapsed="false">
      <c r="A421" s="19" t="n">
        <v>443356</v>
      </c>
      <c r="B421" s="19" t="n">
        <v>26371.06</v>
      </c>
      <c r="C421" s="19" t="n">
        <v>26371.06</v>
      </c>
      <c r="D421" s="19" t="n">
        <v>0</v>
      </c>
      <c r="E421" s="19"/>
      <c r="F421" s="20" t="b">
        <f aca="false">FALSE()</f>
        <v>0</v>
      </c>
      <c r="G421" s="19" t="n">
        <v>0</v>
      </c>
    </row>
    <row r="422" customFormat="false" ht="15" hidden="false" customHeight="false" outlineLevel="0" collapsed="false">
      <c r="A422" s="19" t="n">
        <v>443832</v>
      </c>
      <c r="B422" s="19" t="n">
        <v>135959.75</v>
      </c>
      <c r="C422" s="19" t="n">
        <v>135959.75</v>
      </c>
      <c r="D422" s="19" t="n">
        <v>0</v>
      </c>
      <c r="E422" s="19"/>
      <c r="F422" s="20" t="b">
        <f aca="false">FALSE()</f>
        <v>0</v>
      </c>
      <c r="G422" s="19" t="n">
        <v>0</v>
      </c>
    </row>
    <row r="423" customFormat="false" ht="15" hidden="false" customHeight="false" outlineLevel="0" collapsed="false">
      <c r="A423" s="19" t="n">
        <v>444342</v>
      </c>
      <c r="B423" s="19" t="n">
        <v>23263.16</v>
      </c>
      <c r="C423" s="19" t="n">
        <v>23263.16</v>
      </c>
      <c r="D423" s="19" t="n">
        <v>0</v>
      </c>
      <c r="E423" s="19"/>
      <c r="F423" s="20" t="b">
        <f aca="false">FALSE()</f>
        <v>0</v>
      </c>
      <c r="G423" s="19" t="n">
        <v>0</v>
      </c>
    </row>
    <row r="424" customFormat="false" ht="15" hidden="false" customHeight="false" outlineLevel="0" collapsed="false">
      <c r="A424" s="19" t="n">
        <v>444819</v>
      </c>
      <c r="B424" s="19" t="n">
        <v>26380.32</v>
      </c>
      <c r="C424" s="19" t="n">
        <v>26380.32</v>
      </c>
      <c r="D424" s="19" t="n">
        <v>0</v>
      </c>
      <c r="E424" s="19"/>
      <c r="F424" s="20" t="b">
        <f aca="false">FALSE()</f>
        <v>0</v>
      </c>
      <c r="G424" s="19" t="n">
        <v>0</v>
      </c>
    </row>
    <row r="425" customFormat="false" ht="15" hidden="false" customHeight="false" outlineLevel="0" collapsed="false">
      <c r="A425" s="19" t="n">
        <v>445241</v>
      </c>
      <c r="B425" s="19" t="n">
        <v>287176.38</v>
      </c>
      <c r="C425" s="19" t="n">
        <v>227059</v>
      </c>
      <c r="D425" s="19" t="n">
        <v>60117.38</v>
      </c>
      <c r="E425" s="19" t="s">
        <v>110</v>
      </c>
      <c r="F425" s="20" t="b">
        <f aca="false">FALSE()</f>
        <v>0</v>
      </c>
      <c r="G425" s="19" t="n">
        <v>0.20933957033653</v>
      </c>
    </row>
    <row r="426" customFormat="false" ht="15" hidden="false" customHeight="false" outlineLevel="0" collapsed="false">
      <c r="A426" s="19" t="n">
        <v>445741</v>
      </c>
      <c r="B426" s="19" t="n">
        <v>175138.84</v>
      </c>
      <c r="C426" s="19" t="n">
        <v>175138.84</v>
      </c>
      <c r="D426" s="19" t="n">
        <v>0</v>
      </c>
      <c r="E426" s="19"/>
      <c r="F426" s="20" t="b">
        <f aca="false">FALSE()</f>
        <v>0</v>
      </c>
      <c r="G426" s="19" t="n">
        <v>0</v>
      </c>
    </row>
    <row r="427" customFormat="false" ht="15" hidden="false" customHeight="false" outlineLevel="0" collapsed="false">
      <c r="A427" s="19" t="n">
        <v>446177</v>
      </c>
      <c r="B427" s="19" t="n">
        <v>10835.23</v>
      </c>
      <c r="C427" s="19" t="n">
        <v>10835.23</v>
      </c>
      <c r="D427" s="19" t="n">
        <v>0</v>
      </c>
      <c r="E427" s="19"/>
      <c r="F427" s="20" t="b">
        <f aca="false">FALSE()</f>
        <v>0</v>
      </c>
      <c r="G427" s="19" t="n">
        <v>0</v>
      </c>
    </row>
    <row r="428" customFormat="false" ht="15" hidden="false" customHeight="false" outlineLevel="0" collapsed="false">
      <c r="A428" s="19" t="n">
        <v>446629</v>
      </c>
      <c r="B428" s="19" t="n">
        <v>513522.75</v>
      </c>
      <c r="C428" s="19" t="n">
        <v>453892.66</v>
      </c>
      <c r="D428" s="19" t="n">
        <v>59630.09</v>
      </c>
      <c r="E428" s="19" t="s">
        <v>110</v>
      </c>
      <c r="F428" s="20" t="b">
        <f aca="false">FALSE()</f>
        <v>0</v>
      </c>
      <c r="G428" s="19" t="n">
        <v>0.116119665584436</v>
      </c>
    </row>
    <row r="429" customFormat="false" ht="15" hidden="false" customHeight="false" outlineLevel="0" collapsed="false">
      <c r="A429" s="19" t="n">
        <v>447058</v>
      </c>
      <c r="B429" s="19" t="n">
        <v>12747.94</v>
      </c>
      <c r="C429" s="19" t="n">
        <v>12747.94</v>
      </c>
      <c r="D429" s="19" t="n">
        <v>0</v>
      </c>
      <c r="E429" s="19"/>
      <c r="F429" s="20" t="b">
        <f aca="false">FALSE()</f>
        <v>0</v>
      </c>
      <c r="G429" s="19" t="n">
        <v>0</v>
      </c>
    </row>
    <row r="430" customFormat="false" ht="15" hidden="false" customHeight="false" outlineLevel="0" collapsed="false">
      <c r="A430" s="19" t="n">
        <v>447526</v>
      </c>
      <c r="B430" s="19" t="n">
        <v>130668.7</v>
      </c>
      <c r="C430" s="19" t="n">
        <v>130668.7</v>
      </c>
      <c r="D430" s="19" t="n">
        <v>0</v>
      </c>
      <c r="E430" s="19"/>
      <c r="F430" s="20" t="b">
        <f aca="false">FALSE()</f>
        <v>0</v>
      </c>
      <c r="G430" s="19" t="n">
        <v>0</v>
      </c>
    </row>
    <row r="431" customFormat="false" ht="15" hidden="false" customHeight="false" outlineLevel="0" collapsed="false">
      <c r="A431" s="19" t="n">
        <v>448014</v>
      </c>
      <c r="B431" s="19" t="n">
        <v>17436.78</v>
      </c>
      <c r="C431" s="19" t="n">
        <v>17436.78</v>
      </c>
      <c r="D431" s="19" t="n">
        <v>0</v>
      </c>
      <c r="E431" s="19"/>
      <c r="F431" s="20" t="b">
        <f aca="false">FALSE()</f>
        <v>0</v>
      </c>
      <c r="G431" s="19" t="n">
        <v>0</v>
      </c>
    </row>
    <row r="432" customFormat="false" ht="15" hidden="false" customHeight="false" outlineLevel="0" collapsed="false">
      <c r="A432" s="19" t="n">
        <v>448536</v>
      </c>
      <c r="B432" s="19" t="n">
        <v>11718.8</v>
      </c>
      <c r="C432" s="19" t="n">
        <v>11718.8</v>
      </c>
      <c r="D432" s="19" t="n">
        <v>0</v>
      </c>
      <c r="E432" s="19"/>
      <c r="F432" s="20" t="b">
        <f aca="false">FALSE()</f>
        <v>0</v>
      </c>
      <c r="G432" s="19" t="n">
        <v>0</v>
      </c>
    </row>
    <row r="433" customFormat="false" ht="15" hidden="false" customHeight="false" outlineLevel="0" collapsed="false">
      <c r="A433" s="19" t="n">
        <v>449005</v>
      </c>
      <c r="B433" s="19" t="n">
        <v>49108.14</v>
      </c>
      <c r="C433" s="19" t="n">
        <v>49108.14</v>
      </c>
      <c r="D433" s="19" t="n">
        <v>0</v>
      </c>
      <c r="E433" s="19"/>
      <c r="F433" s="20" t="b">
        <f aca="false">FALSE()</f>
        <v>0</v>
      </c>
      <c r="G433" s="19" t="n">
        <v>0</v>
      </c>
    </row>
    <row r="434" customFormat="false" ht="15" hidden="false" customHeight="false" outlineLevel="0" collapsed="false">
      <c r="A434" s="19" t="n">
        <v>449445</v>
      </c>
      <c r="B434" s="19" t="n">
        <v>10650.17</v>
      </c>
      <c r="C434" s="19" t="n">
        <v>10650.17</v>
      </c>
      <c r="D434" s="19" t="n">
        <v>0</v>
      </c>
      <c r="E434" s="19"/>
      <c r="F434" s="20" t="b">
        <f aca="false">FALSE()</f>
        <v>0</v>
      </c>
      <c r="G434" s="19" t="n">
        <v>0</v>
      </c>
    </row>
    <row r="435" customFormat="false" ht="15" hidden="false" customHeight="false" outlineLevel="0" collapsed="false">
      <c r="A435" s="19" t="n">
        <v>449909</v>
      </c>
      <c r="B435" s="19" t="n">
        <v>34915.79</v>
      </c>
      <c r="C435" s="19" t="n">
        <v>34915.79</v>
      </c>
      <c r="D435" s="19" t="n">
        <v>0</v>
      </c>
      <c r="E435" s="19"/>
      <c r="F435" s="20" t="b">
        <f aca="false">FALSE()</f>
        <v>0</v>
      </c>
      <c r="G435" s="19" t="n">
        <v>0</v>
      </c>
    </row>
    <row r="436" customFormat="false" ht="15" hidden="false" customHeight="false" outlineLevel="0" collapsed="false">
      <c r="A436" s="19" t="n">
        <v>450346</v>
      </c>
      <c r="B436" s="19" t="n">
        <v>27268.35</v>
      </c>
      <c r="C436" s="19" t="n">
        <v>27268.35</v>
      </c>
      <c r="D436" s="19" t="n">
        <v>0</v>
      </c>
      <c r="E436" s="19"/>
      <c r="F436" s="20" t="b">
        <f aca="false">FALSE()</f>
        <v>0</v>
      </c>
      <c r="G436" s="19" t="n">
        <v>0</v>
      </c>
    </row>
    <row r="437" customFormat="false" ht="15" hidden="false" customHeight="false" outlineLevel="0" collapsed="false">
      <c r="A437" s="19" t="n">
        <v>450755</v>
      </c>
      <c r="B437" s="19" t="n">
        <v>36821.49</v>
      </c>
      <c r="C437" s="19" t="n">
        <v>36821.49</v>
      </c>
      <c r="D437" s="19" t="n">
        <v>0</v>
      </c>
      <c r="E437" s="19"/>
      <c r="F437" s="20" t="b">
        <f aca="false">FALSE()</f>
        <v>0</v>
      </c>
      <c r="G437" s="19" t="n">
        <v>0</v>
      </c>
    </row>
    <row r="438" customFormat="false" ht="15" hidden="false" customHeight="false" outlineLevel="0" collapsed="false">
      <c r="A438" s="19" t="n">
        <v>451225</v>
      </c>
      <c r="B438" s="19" t="n">
        <v>1631.77</v>
      </c>
      <c r="C438" s="19" t="n">
        <v>1631.77</v>
      </c>
      <c r="D438" s="19" t="n">
        <v>0</v>
      </c>
      <c r="E438" s="19"/>
      <c r="F438" s="20" t="b">
        <f aca="false">FALSE()</f>
        <v>0</v>
      </c>
      <c r="G438" s="19" t="n">
        <v>0</v>
      </c>
    </row>
    <row r="439" customFormat="false" ht="15" hidden="false" customHeight="false" outlineLevel="0" collapsed="false">
      <c r="A439" s="19" t="n">
        <v>451610</v>
      </c>
      <c r="B439" s="19" t="n">
        <v>17666.46</v>
      </c>
      <c r="C439" s="19" t="n">
        <v>17666.46</v>
      </c>
      <c r="D439" s="19" t="n">
        <v>0</v>
      </c>
      <c r="E439" s="19"/>
      <c r="F439" s="20" t="b">
        <f aca="false">FALSE()</f>
        <v>0</v>
      </c>
      <c r="G439" s="19" t="n">
        <v>0</v>
      </c>
    </row>
    <row r="440" customFormat="false" ht="15" hidden="false" customHeight="false" outlineLevel="0" collapsed="false">
      <c r="A440" s="19" t="n">
        <v>452088</v>
      </c>
      <c r="B440" s="19" t="n">
        <v>341057.33</v>
      </c>
      <c r="C440" s="19" t="n">
        <v>271153.28</v>
      </c>
      <c r="D440" s="19" t="n">
        <v>69904.05</v>
      </c>
      <c r="E440" s="19" t="s">
        <v>110</v>
      </c>
      <c r="F440" s="20" t="b">
        <f aca="false">FALSE()</f>
        <v>0</v>
      </c>
      <c r="G440" s="19" t="n">
        <v>0.204962755088712</v>
      </c>
    </row>
    <row r="441" customFormat="false" ht="15" hidden="false" customHeight="false" outlineLevel="0" collapsed="false">
      <c r="A441" s="19" t="n">
        <v>452584</v>
      </c>
      <c r="B441" s="19" t="n">
        <v>121336.88</v>
      </c>
      <c r="C441" s="19" t="n">
        <v>121336.88</v>
      </c>
      <c r="D441" s="19" t="n">
        <v>0</v>
      </c>
      <c r="E441" s="19"/>
      <c r="F441" s="20" t="b">
        <f aca="false">FALSE()</f>
        <v>0</v>
      </c>
      <c r="G441" s="19" t="n">
        <v>0</v>
      </c>
    </row>
    <row r="442" customFormat="false" ht="15" hidden="false" customHeight="false" outlineLevel="0" collapsed="false">
      <c r="A442" s="19" t="n">
        <v>453041</v>
      </c>
      <c r="B442" s="19" t="n">
        <v>15060.47</v>
      </c>
      <c r="C442" s="19" t="n">
        <v>15060.47</v>
      </c>
      <c r="D442" s="19" t="n">
        <v>0</v>
      </c>
      <c r="E442" s="19"/>
      <c r="F442" s="20" t="b">
        <f aca="false">FALSE()</f>
        <v>0</v>
      </c>
      <c r="G442" s="19" t="n">
        <v>0</v>
      </c>
    </row>
    <row r="443" customFormat="false" ht="15" hidden="false" customHeight="false" outlineLevel="0" collapsed="false">
      <c r="A443" s="19" t="n">
        <v>453462</v>
      </c>
      <c r="B443" s="19" t="n">
        <v>11925.35</v>
      </c>
      <c r="C443" s="19" t="n">
        <v>11925.35</v>
      </c>
      <c r="D443" s="19" t="n">
        <v>0</v>
      </c>
      <c r="E443" s="19"/>
      <c r="F443" s="20" t="b">
        <f aca="false">FALSE()</f>
        <v>0</v>
      </c>
      <c r="G443" s="19" t="n">
        <v>0</v>
      </c>
    </row>
    <row r="444" customFormat="false" ht="15" hidden="false" customHeight="false" outlineLevel="0" collapsed="false">
      <c r="A444" s="19" t="n">
        <v>453935</v>
      </c>
      <c r="B444" s="19" t="n">
        <v>8621.5</v>
      </c>
      <c r="C444" s="19" t="n">
        <v>8621.5</v>
      </c>
      <c r="D444" s="19" t="n">
        <v>0</v>
      </c>
      <c r="E444" s="19"/>
      <c r="F444" s="20" t="b">
        <f aca="false">FALSE()</f>
        <v>0</v>
      </c>
      <c r="G444" s="19" t="n">
        <v>0</v>
      </c>
    </row>
    <row r="445" customFormat="false" ht="15" hidden="false" customHeight="false" outlineLevel="0" collapsed="false">
      <c r="A445" s="19" t="n">
        <v>454458</v>
      </c>
      <c r="B445" s="19" t="n">
        <v>5160.51</v>
      </c>
      <c r="C445" s="19" t="n">
        <v>5160.51</v>
      </c>
      <c r="D445" s="19" t="n">
        <v>0</v>
      </c>
      <c r="E445" s="19"/>
      <c r="F445" s="20" t="b">
        <f aca="false">FALSE()</f>
        <v>0</v>
      </c>
      <c r="G445" s="19" t="n">
        <v>0</v>
      </c>
    </row>
    <row r="446" customFormat="false" ht="15" hidden="false" customHeight="false" outlineLevel="0" collapsed="false">
      <c r="A446" s="19" t="n">
        <v>454887</v>
      </c>
      <c r="B446" s="19" t="n">
        <v>21035.37</v>
      </c>
      <c r="C446" s="19" t="n">
        <v>21035.37</v>
      </c>
      <c r="D446" s="19" t="n">
        <v>0</v>
      </c>
      <c r="E446" s="19"/>
      <c r="F446" s="20" t="b">
        <f aca="false">FALSE()</f>
        <v>0</v>
      </c>
      <c r="G446" s="19" t="n">
        <v>0</v>
      </c>
    </row>
    <row r="447" customFormat="false" ht="15" hidden="false" customHeight="false" outlineLevel="0" collapsed="false">
      <c r="A447" s="19" t="n">
        <v>455368</v>
      </c>
      <c r="B447" s="19" t="n">
        <v>58208.39</v>
      </c>
      <c r="C447" s="19" t="n">
        <v>58208.39</v>
      </c>
      <c r="D447" s="19" t="n">
        <v>0</v>
      </c>
      <c r="E447" s="19"/>
      <c r="F447" s="20" t="b">
        <f aca="false">FALSE()</f>
        <v>0</v>
      </c>
      <c r="G447" s="19" t="n">
        <v>0</v>
      </c>
    </row>
    <row r="448" customFormat="false" ht="15" hidden="false" customHeight="false" outlineLevel="0" collapsed="false">
      <c r="A448" s="19" t="n">
        <v>455814</v>
      </c>
      <c r="B448" s="19" t="n">
        <v>18840.01</v>
      </c>
      <c r="C448" s="19" t="n">
        <v>18840.01</v>
      </c>
      <c r="D448" s="19" t="n">
        <v>0</v>
      </c>
      <c r="E448" s="19"/>
      <c r="F448" s="20" t="b">
        <f aca="false">FALSE()</f>
        <v>0</v>
      </c>
      <c r="G448" s="19" t="n">
        <v>0</v>
      </c>
    </row>
    <row r="449" customFormat="false" ht="15" hidden="false" customHeight="false" outlineLevel="0" collapsed="false">
      <c r="A449" s="19" t="n">
        <v>456232</v>
      </c>
      <c r="B449" s="19" t="n">
        <v>66115.21</v>
      </c>
      <c r="C449" s="19" t="n">
        <v>66115.21</v>
      </c>
      <c r="D449" s="19" t="n">
        <v>0</v>
      </c>
      <c r="E449" s="19"/>
      <c r="F449" s="20" t="b">
        <f aca="false">FALSE()</f>
        <v>0</v>
      </c>
      <c r="G449" s="19" t="n">
        <v>0</v>
      </c>
    </row>
    <row r="450" customFormat="false" ht="15" hidden="false" customHeight="false" outlineLevel="0" collapsed="false">
      <c r="A450" s="19" t="n">
        <v>456744</v>
      </c>
      <c r="B450" s="19" t="n">
        <v>12027.55</v>
      </c>
      <c r="C450" s="19" t="n">
        <v>12027.55</v>
      </c>
      <c r="D450" s="19" t="n">
        <v>0</v>
      </c>
      <c r="E450" s="19"/>
      <c r="F450" s="20" t="b">
        <f aca="false">FALSE()</f>
        <v>0</v>
      </c>
      <c r="G450" s="19" t="n">
        <v>0</v>
      </c>
    </row>
    <row r="451" customFormat="false" ht="15" hidden="false" customHeight="false" outlineLevel="0" collapsed="false">
      <c r="A451" s="19" t="n">
        <v>457159</v>
      </c>
      <c r="B451" s="19" t="n">
        <v>55270.76</v>
      </c>
      <c r="C451" s="19" t="n">
        <v>55270.76</v>
      </c>
      <c r="D451" s="19" t="n">
        <v>0</v>
      </c>
      <c r="E451" s="19"/>
      <c r="F451" s="20" t="b">
        <f aca="false">FALSE()</f>
        <v>0</v>
      </c>
      <c r="G451" s="19" t="n">
        <v>0</v>
      </c>
    </row>
    <row r="452" customFormat="false" ht="15" hidden="false" customHeight="false" outlineLevel="0" collapsed="false">
      <c r="A452" s="19" t="n">
        <v>457627</v>
      </c>
      <c r="B452" s="19" t="n">
        <v>98992.89</v>
      </c>
      <c r="C452" s="19" t="n">
        <v>98992.89</v>
      </c>
      <c r="D452" s="19" t="n">
        <v>0</v>
      </c>
      <c r="E452" s="19"/>
      <c r="F452" s="20" t="b">
        <f aca="false">FALSE()</f>
        <v>0</v>
      </c>
      <c r="G452" s="19" t="n">
        <v>0</v>
      </c>
    </row>
    <row r="453" customFormat="false" ht="15" hidden="false" customHeight="false" outlineLevel="0" collapsed="false">
      <c r="A453" s="19" t="n">
        <v>458103</v>
      </c>
      <c r="B453" s="19" t="n">
        <v>44549.63</v>
      </c>
      <c r="C453" s="19" t="n">
        <v>44549.63</v>
      </c>
      <c r="D453" s="19" t="n">
        <v>0</v>
      </c>
      <c r="E453" s="19"/>
      <c r="F453" s="20" t="b">
        <f aca="false">FALSE()</f>
        <v>0</v>
      </c>
      <c r="G453" s="19" t="n">
        <v>0</v>
      </c>
    </row>
    <row r="454" customFormat="false" ht="15" hidden="false" customHeight="false" outlineLevel="0" collapsed="false">
      <c r="A454" s="19" t="n">
        <v>458592</v>
      </c>
      <c r="B454" s="19" t="n">
        <v>93761.56</v>
      </c>
      <c r="C454" s="19" t="n">
        <v>93761.56</v>
      </c>
      <c r="D454" s="19" t="n">
        <v>0</v>
      </c>
      <c r="E454" s="19"/>
      <c r="F454" s="20" t="b">
        <f aca="false">FALSE()</f>
        <v>0</v>
      </c>
      <c r="G454" s="19" t="n">
        <v>0</v>
      </c>
    </row>
    <row r="455" customFormat="false" ht="15" hidden="false" customHeight="false" outlineLevel="0" collapsed="false">
      <c r="A455" s="19" t="n">
        <v>459056</v>
      </c>
      <c r="B455" s="19" t="n">
        <v>10287.99</v>
      </c>
      <c r="C455" s="19" t="n">
        <v>10287.99</v>
      </c>
      <c r="D455" s="19" t="n">
        <v>0</v>
      </c>
      <c r="E455" s="19"/>
      <c r="F455" s="20" t="b">
        <f aca="false">FALSE()</f>
        <v>0</v>
      </c>
      <c r="G455" s="19" t="n">
        <v>0</v>
      </c>
    </row>
    <row r="456" customFormat="false" ht="15" hidden="false" customHeight="false" outlineLevel="0" collapsed="false">
      <c r="A456" s="19" t="n">
        <v>459494</v>
      </c>
      <c r="B456" s="19" t="n">
        <v>13256.1</v>
      </c>
      <c r="C456" s="19" t="n">
        <v>13256.1</v>
      </c>
      <c r="D456" s="19" t="n">
        <v>0</v>
      </c>
      <c r="E456" s="19"/>
      <c r="F456" s="20" t="b">
        <f aca="false">FALSE()</f>
        <v>0</v>
      </c>
      <c r="G456" s="19" t="n">
        <v>0</v>
      </c>
    </row>
    <row r="457" customFormat="false" ht="15" hidden="false" customHeight="false" outlineLevel="0" collapsed="false">
      <c r="A457" s="19" t="n">
        <v>459963</v>
      </c>
      <c r="B457" s="19" t="n">
        <v>69247.73</v>
      </c>
      <c r="C457" s="19" t="n">
        <v>69247.73</v>
      </c>
      <c r="D457" s="19" t="n">
        <v>0</v>
      </c>
      <c r="E457" s="19"/>
      <c r="F457" s="20" t="b">
        <f aca="false">FALSE()</f>
        <v>0</v>
      </c>
      <c r="G457" s="19" t="n">
        <v>0</v>
      </c>
    </row>
    <row r="458" customFormat="false" ht="15" hidden="false" customHeight="false" outlineLevel="0" collapsed="false">
      <c r="A458" s="19" t="n">
        <v>460391</v>
      </c>
      <c r="B458" s="19" t="n">
        <v>32856.11</v>
      </c>
      <c r="C458" s="19" t="n">
        <v>32856.11</v>
      </c>
      <c r="D458" s="19" t="n">
        <v>0</v>
      </c>
      <c r="E458" s="19"/>
      <c r="F458" s="20" t="b">
        <f aca="false">FALSE()</f>
        <v>0</v>
      </c>
      <c r="G458" s="19" t="n">
        <v>0</v>
      </c>
    </row>
    <row r="459" customFormat="false" ht="15" hidden="false" customHeight="false" outlineLevel="0" collapsed="false">
      <c r="A459" s="19" t="n">
        <v>460804</v>
      </c>
      <c r="B459" s="19" t="n">
        <v>24975.75</v>
      </c>
      <c r="C459" s="19" t="n">
        <v>24975.75</v>
      </c>
      <c r="D459" s="19" t="n">
        <v>0</v>
      </c>
      <c r="E459" s="19"/>
      <c r="F459" s="20" t="b">
        <f aca="false">FALSE()</f>
        <v>0</v>
      </c>
      <c r="G459" s="19" t="n">
        <v>0</v>
      </c>
    </row>
    <row r="460" customFormat="false" ht="15" hidden="false" customHeight="false" outlineLevel="0" collapsed="false">
      <c r="A460" s="19" t="n">
        <v>461169</v>
      </c>
      <c r="B460" s="19" t="n">
        <v>45413.33</v>
      </c>
      <c r="C460" s="19" t="n">
        <v>45413.33</v>
      </c>
      <c r="D460" s="19" t="n">
        <v>0</v>
      </c>
      <c r="E460" s="19"/>
      <c r="F460" s="20" t="b">
        <f aca="false">FALSE()</f>
        <v>0</v>
      </c>
      <c r="G460" s="19" t="n">
        <v>0</v>
      </c>
    </row>
    <row r="461" customFormat="false" ht="15" hidden="false" customHeight="false" outlineLevel="0" collapsed="false">
      <c r="A461" s="19" t="n">
        <v>461636</v>
      </c>
      <c r="B461" s="19" t="n">
        <v>146252.18</v>
      </c>
      <c r="C461" s="19" t="n">
        <v>146252.18</v>
      </c>
      <c r="D461" s="19" t="n">
        <v>0</v>
      </c>
      <c r="E461" s="19"/>
      <c r="F461" s="20" t="b">
        <f aca="false">FALSE()</f>
        <v>0</v>
      </c>
      <c r="G461" s="19" t="n">
        <v>0</v>
      </c>
    </row>
    <row r="462" customFormat="false" ht="15" hidden="false" customHeight="false" outlineLevel="0" collapsed="false">
      <c r="A462" s="19" t="n">
        <v>462102</v>
      </c>
      <c r="B462" s="19" t="n">
        <v>10042.72</v>
      </c>
      <c r="C462" s="19" t="n">
        <v>10042.72</v>
      </c>
      <c r="D462" s="19" t="n">
        <v>0</v>
      </c>
      <c r="E462" s="19"/>
      <c r="F462" s="20" t="b">
        <f aca="false">FALSE()</f>
        <v>0</v>
      </c>
      <c r="G462" s="19" t="n">
        <v>0</v>
      </c>
    </row>
    <row r="463" customFormat="false" ht="15" hidden="false" customHeight="false" outlineLevel="0" collapsed="false">
      <c r="A463" s="19" t="n">
        <v>462573</v>
      </c>
      <c r="B463" s="19" t="n">
        <v>65352.92</v>
      </c>
      <c r="C463" s="19" t="n">
        <v>65352.92</v>
      </c>
      <c r="D463" s="19" t="n">
        <v>0</v>
      </c>
      <c r="E463" s="19"/>
      <c r="F463" s="20" t="b">
        <f aca="false">FALSE()</f>
        <v>0</v>
      </c>
      <c r="G463" s="19" t="n">
        <v>0</v>
      </c>
    </row>
    <row r="464" customFormat="false" ht="15" hidden="false" customHeight="false" outlineLevel="0" collapsed="false">
      <c r="A464" s="19" t="n">
        <v>462960</v>
      </c>
      <c r="B464" s="19" t="n">
        <v>45267.46</v>
      </c>
      <c r="C464" s="19" t="n">
        <v>45267.46</v>
      </c>
      <c r="D464" s="19" t="n">
        <v>0</v>
      </c>
      <c r="E464" s="19"/>
      <c r="F464" s="20" t="b">
        <f aca="false">FALSE()</f>
        <v>0</v>
      </c>
      <c r="G464" s="19" t="n">
        <v>0</v>
      </c>
    </row>
    <row r="465" customFormat="false" ht="15" hidden="false" customHeight="false" outlineLevel="0" collapsed="false">
      <c r="A465" s="19" t="n">
        <v>463357</v>
      </c>
      <c r="B465" s="19" t="n">
        <v>22384.84</v>
      </c>
      <c r="C465" s="19" t="n">
        <v>22384.84</v>
      </c>
      <c r="D465" s="19" t="n">
        <v>0</v>
      </c>
      <c r="E465" s="19"/>
      <c r="F465" s="20" t="b">
        <f aca="false">FALSE()</f>
        <v>0</v>
      </c>
      <c r="G465" s="19" t="n">
        <v>0</v>
      </c>
    </row>
    <row r="466" customFormat="false" ht="15" hidden="false" customHeight="false" outlineLevel="0" collapsed="false">
      <c r="A466" s="19" t="n">
        <v>463804</v>
      </c>
      <c r="B466" s="19" t="n">
        <v>1544.74</v>
      </c>
      <c r="C466" s="19" t="n">
        <v>1544.74</v>
      </c>
      <c r="D466" s="19" t="n">
        <v>0</v>
      </c>
      <c r="E466" s="19"/>
      <c r="F466" s="20" t="b">
        <f aca="false">FALSE()</f>
        <v>0</v>
      </c>
      <c r="G466" s="19" t="n">
        <v>0</v>
      </c>
    </row>
    <row r="467" customFormat="false" ht="15" hidden="false" customHeight="false" outlineLevel="0" collapsed="false">
      <c r="A467" s="19" t="n">
        <v>464238</v>
      </c>
      <c r="B467" s="19" t="n">
        <v>21537.31</v>
      </c>
      <c r="C467" s="19" t="n">
        <v>21537.31</v>
      </c>
      <c r="D467" s="19" t="n">
        <v>0</v>
      </c>
      <c r="E467" s="19"/>
      <c r="F467" s="20" t="b">
        <f aca="false">FALSE()</f>
        <v>0</v>
      </c>
      <c r="G467" s="19" t="n">
        <v>0</v>
      </c>
    </row>
    <row r="468" customFormat="false" ht="15" hidden="false" customHeight="false" outlineLevel="0" collapsed="false">
      <c r="A468" s="19" t="n">
        <v>464682</v>
      </c>
      <c r="B468" s="19" t="n">
        <v>28000</v>
      </c>
      <c r="C468" s="19" t="n">
        <v>28000</v>
      </c>
      <c r="D468" s="19" t="n">
        <v>0</v>
      </c>
      <c r="E468" s="19"/>
      <c r="F468" s="20" t="b">
        <f aca="false">FALSE()</f>
        <v>0</v>
      </c>
      <c r="G468" s="19" t="n">
        <v>0</v>
      </c>
    </row>
    <row r="469" customFormat="false" ht="15" hidden="false" customHeight="false" outlineLevel="0" collapsed="false">
      <c r="A469" s="19" t="n">
        <v>465130</v>
      </c>
      <c r="B469" s="19" t="n">
        <v>33982.91</v>
      </c>
      <c r="C469" s="19" t="n">
        <v>33982.91</v>
      </c>
      <c r="D469" s="19" t="n">
        <v>0</v>
      </c>
      <c r="E469" s="19"/>
      <c r="F469" s="20" t="b">
        <f aca="false">FALSE()</f>
        <v>0</v>
      </c>
      <c r="G469" s="19" t="n">
        <v>0</v>
      </c>
    </row>
    <row r="470" customFormat="false" ht="15" hidden="false" customHeight="false" outlineLevel="0" collapsed="false">
      <c r="A470" s="19" t="n">
        <v>465564</v>
      </c>
      <c r="B470" s="19" t="n">
        <v>184682.34</v>
      </c>
      <c r="C470" s="19" t="n">
        <v>184682.34</v>
      </c>
      <c r="D470" s="19" t="n">
        <v>0</v>
      </c>
      <c r="E470" s="19"/>
      <c r="F470" s="20" t="b">
        <f aca="false">FALSE()</f>
        <v>0</v>
      </c>
      <c r="G470" s="19" t="n">
        <v>0</v>
      </c>
    </row>
    <row r="471" customFormat="false" ht="15" hidden="false" customHeight="false" outlineLevel="0" collapsed="false">
      <c r="A471" s="19" t="n">
        <v>466005</v>
      </c>
      <c r="B471" s="19" t="n">
        <v>27535.55</v>
      </c>
      <c r="C471" s="19" t="n">
        <v>27535.55</v>
      </c>
      <c r="D471" s="19" t="n">
        <v>0</v>
      </c>
      <c r="E471" s="19"/>
      <c r="F471" s="20" t="b">
        <f aca="false">FALSE()</f>
        <v>0</v>
      </c>
      <c r="G471" s="19" t="n">
        <v>0</v>
      </c>
    </row>
    <row r="472" customFormat="false" ht="15" hidden="false" customHeight="false" outlineLevel="0" collapsed="false">
      <c r="A472" s="19" t="n">
        <v>466452</v>
      </c>
      <c r="B472" s="19" t="n">
        <v>22201.64</v>
      </c>
      <c r="C472" s="19" t="n">
        <v>22201.64</v>
      </c>
      <c r="D472" s="19" t="n">
        <v>0</v>
      </c>
      <c r="E472" s="19"/>
      <c r="F472" s="20" t="b">
        <f aca="false">FALSE()</f>
        <v>0</v>
      </c>
      <c r="G472" s="19" t="n">
        <v>0</v>
      </c>
    </row>
    <row r="473" customFormat="false" ht="15" hidden="false" customHeight="false" outlineLevel="0" collapsed="false">
      <c r="A473" s="19" t="n">
        <v>466862</v>
      </c>
      <c r="B473" s="19" t="n">
        <v>26914.86</v>
      </c>
      <c r="C473" s="19" t="n">
        <v>26914.86</v>
      </c>
      <c r="D473" s="19" t="n">
        <v>0</v>
      </c>
      <c r="E473" s="19"/>
      <c r="F473" s="20" t="b">
        <f aca="false">FALSE()</f>
        <v>0</v>
      </c>
      <c r="G473" s="19" t="n">
        <v>0</v>
      </c>
    </row>
    <row r="474" customFormat="false" ht="15" hidden="false" customHeight="false" outlineLevel="0" collapsed="false">
      <c r="A474" s="19" t="n">
        <v>467273</v>
      </c>
      <c r="B474" s="19" t="n">
        <v>9577.59</v>
      </c>
      <c r="C474" s="19" t="n">
        <v>9577.59</v>
      </c>
      <c r="D474" s="19" t="n">
        <v>0</v>
      </c>
      <c r="E474" s="19"/>
      <c r="F474" s="20" t="b">
        <f aca="false">FALSE()</f>
        <v>0</v>
      </c>
      <c r="G474" s="19" t="n">
        <v>0</v>
      </c>
    </row>
    <row r="475" customFormat="false" ht="15" hidden="false" customHeight="false" outlineLevel="0" collapsed="false">
      <c r="A475" s="19" t="n">
        <v>467761</v>
      </c>
      <c r="B475" s="19" t="n">
        <v>8290.6</v>
      </c>
      <c r="C475" s="19" t="n">
        <v>8290.6</v>
      </c>
      <c r="D475" s="19" t="n">
        <v>0</v>
      </c>
      <c r="E475" s="19"/>
      <c r="F475" s="20" t="b">
        <f aca="false">FALSE()</f>
        <v>0</v>
      </c>
      <c r="G475" s="19" t="n">
        <v>0</v>
      </c>
    </row>
    <row r="476" customFormat="false" ht="15" hidden="false" customHeight="false" outlineLevel="0" collapsed="false">
      <c r="A476" s="19" t="n">
        <v>468232</v>
      </c>
      <c r="B476" s="19" t="n">
        <v>8000</v>
      </c>
      <c r="C476" s="19" t="n">
        <v>8000</v>
      </c>
      <c r="D476" s="19" t="n">
        <v>0</v>
      </c>
      <c r="E476" s="19"/>
      <c r="F476" s="20" t="b">
        <f aca="false">FALSE()</f>
        <v>0</v>
      </c>
      <c r="G476" s="19" t="n">
        <v>0</v>
      </c>
    </row>
    <row r="477" customFormat="false" ht="15" hidden="false" customHeight="false" outlineLevel="0" collapsed="false">
      <c r="A477" s="19" t="n">
        <v>468712</v>
      </c>
      <c r="B477" s="19" t="n">
        <v>7000</v>
      </c>
      <c r="C477" s="19" t="n">
        <v>7000</v>
      </c>
      <c r="D477" s="19" t="n">
        <v>0</v>
      </c>
      <c r="E477" s="19"/>
      <c r="F477" s="20" t="b">
        <f aca="false">FALSE()</f>
        <v>0</v>
      </c>
      <c r="G477" s="19" t="n">
        <v>0</v>
      </c>
    </row>
    <row r="478" customFormat="false" ht="15" hidden="false" customHeight="false" outlineLevel="0" collapsed="false">
      <c r="A478" s="19" t="n">
        <v>469171</v>
      </c>
      <c r="B478" s="19" t="n">
        <v>71906.18</v>
      </c>
      <c r="C478" s="19" t="n">
        <v>71906.18</v>
      </c>
      <c r="D478" s="19" t="n">
        <v>0</v>
      </c>
      <c r="E478" s="19"/>
      <c r="F478" s="20" t="b">
        <f aca="false">FALSE()</f>
        <v>0</v>
      </c>
      <c r="G478" s="19" t="n">
        <v>0</v>
      </c>
    </row>
    <row r="479" customFormat="false" ht="15" hidden="false" customHeight="false" outlineLevel="0" collapsed="false">
      <c r="A479" s="19" t="n">
        <v>469614</v>
      </c>
      <c r="B479" s="19" t="n">
        <v>24873.45</v>
      </c>
      <c r="C479" s="19" t="n">
        <v>24873.45</v>
      </c>
      <c r="D479" s="19" t="n">
        <v>0</v>
      </c>
      <c r="E479" s="19"/>
      <c r="F479" s="20" t="b">
        <f aca="false">FALSE()</f>
        <v>0</v>
      </c>
      <c r="G479" s="19" t="n">
        <v>0</v>
      </c>
    </row>
    <row r="480" customFormat="false" ht="15" hidden="false" customHeight="false" outlineLevel="0" collapsed="false">
      <c r="A480" s="19" t="n">
        <v>470287</v>
      </c>
      <c r="B480" s="19" t="n">
        <v>7119.57</v>
      </c>
      <c r="C480" s="19" t="n">
        <v>7119.57</v>
      </c>
      <c r="D480" s="19" t="n">
        <v>0</v>
      </c>
      <c r="E480" s="19"/>
      <c r="F480" s="20" t="b">
        <f aca="false">FALSE()</f>
        <v>0</v>
      </c>
      <c r="G480" s="19" t="n">
        <v>0</v>
      </c>
    </row>
    <row r="481" customFormat="false" ht="15" hidden="false" customHeight="false" outlineLevel="0" collapsed="false">
      <c r="A481" s="19" t="n">
        <v>471624</v>
      </c>
      <c r="B481" s="19" t="n">
        <v>11896.77</v>
      </c>
      <c r="C481" s="19" t="n">
        <v>11896.77</v>
      </c>
      <c r="D481" s="19" t="n">
        <v>0</v>
      </c>
      <c r="E481" s="19"/>
      <c r="F481" s="20" t="b">
        <f aca="false">FALSE()</f>
        <v>0</v>
      </c>
      <c r="G481" s="19" t="n">
        <v>0</v>
      </c>
    </row>
    <row r="482" customFormat="false" ht="15" hidden="false" customHeight="false" outlineLevel="0" collapsed="false">
      <c r="A482" s="19" t="n">
        <v>472986</v>
      </c>
      <c r="B482" s="19" t="n">
        <v>4180.65</v>
      </c>
      <c r="C482" s="19" t="n">
        <v>4180.65</v>
      </c>
      <c r="D482" s="19" t="n">
        <v>0</v>
      </c>
      <c r="E482" s="19"/>
      <c r="F482" s="20" t="b">
        <f aca="false">FALSE()</f>
        <v>0</v>
      </c>
      <c r="G482" s="19" t="n">
        <v>0</v>
      </c>
    </row>
    <row r="483" customFormat="false" ht="15" hidden="false" customHeight="false" outlineLevel="0" collapsed="false">
      <c r="A483" s="19" t="n">
        <v>474209</v>
      </c>
      <c r="B483" s="19" t="n">
        <v>9282.23</v>
      </c>
      <c r="C483" s="19" t="n">
        <v>9282.23</v>
      </c>
      <c r="D483" s="19" t="n">
        <v>0</v>
      </c>
      <c r="E483" s="19"/>
      <c r="F483" s="20" t="b">
        <f aca="false">FALSE()</f>
        <v>0</v>
      </c>
      <c r="G483" s="19" t="n">
        <v>0</v>
      </c>
    </row>
    <row r="484" customFormat="false" ht="15" hidden="false" customHeight="false" outlineLevel="0" collapsed="false">
      <c r="A484" s="19" t="n">
        <v>475546</v>
      </c>
      <c r="B484" s="19" t="n">
        <v>116453.56</v>
      </c>
      <c r="C484" s="19" t="n">
        <v>116453.56</v>
      </c>
      <c r="D484" s="19" t="n">
        <v>0</v>
      </c>
      <c r="E484" s="19"/>
      <c r="F484" s="20" t="b">
        <f aca="false">FALSE()</f>
        <v>0</v>
      </c>
      <c r="G484" s="19" t="n">
        <v>0</v>
      </c>
    </row>
    <row r="485" customFormat="false" ht="15" hidden="false" customHeight="false" outlineLevel="0" collapsed="false">
      <c r="A485" s="19" t="n">
        <v>476856</v>
      </c>
      <c r="B485" s="19" t="n">
        <v>4125.32</v>
      </c>
      <c r="C485" s="19" t="n">
        <v>4125.32</v>
      </c>
      <c r="D485" s="19" t="n">
        <v>0</v>
      </c>
      <c r="E485" s="19"/>
      <c r="F485" s="20" t="b">
        <f aca="false">FALSE()</f>
        <v>0</v>
      </c>
      <c r="G485" s="19" t="n">
        <v>0</v>
      </c>
    </row>
    <row r="486" customFormat="false" ht="15" hidden="false" customHeight="false" outlineLevel="0" collapsed="false">
      <c r="A486" s="19" t="n">
        <v>478116</v>
      </c>
      <c r="B486" s="19" t="n">
        <v>2527.47</v>
      </c>
      <c r="C486" s="19" t="n">
        <v>2527.47</v>
      </c>
      <c r="D486" s="19" t="n">
        <v>0</v>
      </c>
      <c r="E486" s="19"/>
      <c r="F486" s="20" t="b">
        <f aca="false">FALSE()</f>
        <v>0</v>
      </c>
      <c r="G486" s="19" t="n">
        <v>0</v>
      </c>
    </row>
    <row r="487" customFormat="false" ht="15" hidden="false" customHeight="false" outlineLevel="0" collapsed="false">
      <c r="A487" s="19" t="n">
        <v>479499</v>
      </c>
      <c r="B487" s="19" t="n">
        <v>19228.71</v>
      </c>
      <c r="C487" s="19" t="n">
        <v>19228.71</v>
      </c>
      <c r="D487" s="19" t="n">
        <v>0</v>
      </c>
      <c r="E487" s="19"/>
      <c r="F487" s="20" t="b">
        <f aca="false">FALSE()</f>
        <v>0</v>
      </c>
      <c r="G487" s="19" t="n">
        <v>0</v>
      </c>
    </row>
    <row r="488" customFormat="false" ht="15" hidden="false" customHeight="false" outlineLevel="0" collapsed="false">
      <c r="A488" s="19" t="n">
        <v>480861</v>
      </c>
      <c r="B488" s="19" t="n">
        <v>4311.18</v>
      </c>
      <c r="C488" s="19" t="n">
        <v>4311.18</v>
      </c>
      <c r="D488" s="19" t="n">
        <v>0</v>
      </c>
      <c r="E488" s="19"/>
      <c r="F488" s="20" t="b">
        <f aca="false">FALSE()</f>
        <v>0</v>
      </c>
      <c r="G488" s="19" t="n">
        <v>0</v>
      </c>
    </row>
    <row r="489" customFormat="false" ht="15" hidden="false" customHeight="false" outlineLevel="0" collapsed="false">
      <c r="A489" s="19" t="n">
        <v>481992</v>
      </c>
      <c r="B489" s="19" t="n">
        <v>3572.05</v>
      </c>
      <c r="C489" s="19" t="n">
        <v>3572.05</v>
      </c>
      <c r="D489" s="19" t="n">
        <v>0</v>
      </c>
      <c r="E489" s="19"/>
      <c r="F489" s="20" t="b">
        <f aca="false">FALSE()</f>
        <v>0</v>
      </c>
      <c r="G489" s="19" t="n">
        <v>0</v>
      </c>
    </row>
    <row r="490" customFormat="false" ht="15" hidden="false" customHeight="false" outlineLevel="0" collapsed="false">
      <c r="A490" s="19" t="n">
        <v>483278</v>
      </c>
      <c r="B490" s="19" t="n">
        <v>103500.73</v>
      </c>
      <c r="C490" s="19" t="n">
        <v>103500.73</v>
      </c>
      <c r="D490" s="19" t="n">
        <v>0</v>
      </c>
      <c r="E490" s="19"/>
      <c r="F490" s="20" t="b">
        <f aca="false">FALSE()</f>
        <v>0</v>
      </c>
      <c r="G490" s="19" t="n">
        <v>0</v>
      </c>
    </row>
    <row r="491" customFormat="false" ht="15" hidden="false" customHeight="false" outlineLevel="0" collapsed="false">
      <c r="A491" s="19" t="n">
        <v>484529</v>
      </c>
      <c r="B491" s="19" t="n">
        <v>2569.8</v>
      </c>
      <c r="C491" s="19" t="n">
        <v>2569.8</v>
      </c>
      <c r="D491" s="19" t="n">
        <v>0</v>
      </c>
      <c r="E491" s="19"/>
      <c r="F491" s="20" t="b">
        <f aca="false">FALSE()</f>
        <v>0</v>
      </c>
      <c r="G491" s="19" t="n">
        <v>0</v>
      </c>
    </row>
    <row r="492" customFormat="false" ht="15" hidden="false" customHeight="false" outlineLevel="0" collapsed="false">
      <c r="A492" s="19" t="n">
        <v>485823</v>
      </c>
      <c r="B492" s="19" t="n">
        <v>27304.15</v>
      </c>
      <c r="C492" s="19" t="n">
        <v>27304.15</v>
      </c>
      <c r="D492" s="19" t="n">
        <v>0</v>
      </c>
      <c r="E492" s="19"/>
      <c r="F492" s="20" t="b">
        <f aca="false">FALSE()</f>
        <v>0</v>
      </c>
      <c r="G492" s="19" t="n">
        <v>0</v>
      </c>
    </row>
    <row r="493" customFormat="false" ht="15" hidden="false" customHeight="false" outlineLevel="0" collapsed="false">
      <c r="A493" s="19" t="n">
        <v>487099</v>
      </c>
      <c r="B493" s="19" t="n">
        <v>6539.57</v>
      </c>
      <c r="C493" s="19" t="n">
        <v>6539.57</v>
      </c>
      <c r="D493" s="19" t="n">
        <v>0</v>
      </c>
      <c r="E493" s="19"/>
      <c r="F493" s="20" t="b">
        <f aca="false">FALSE()</f>
        <v>0</v>
      </c>
      <c r="G493" s="19" t="n">
        <v>0</v>
      </c>
    </row>
    <row r="494" customFormat="false" ht="15" hidden="false" customHeight="false" outlineLevel="0" collapsed="false">
      <c r="A494" s="19" t="n">
        <v>488382</v>
      </c>
      <c r="B494" s="19" t="n">
        <v>3305</v>
      </c>
      <c r="C494" s="19" t="n">
        <v>3305</v>
      </c>
      <c r="D494" s="19" t="n">
        <v>0</v>
      </c>
      <c r="E494" s="19"/>
      <c r="F494" s="20" t="b">
        <f aca="false">FALSE()</f>
        <v>0</v>
      </c>
      <c r="G494" s="19" t="n">
        <v>0</v>
      </c>
    </row>
    <row r="495" customFormat="false" ht="15" hidden="false" customHeight="false" outlineLevel="0" collapsed="false">
      <c r="A495" s="19" t="n">
        <v>489639</v>
      </c>
      <c r="B495" s="19" t="n">
        <v>6460.22</v>
      </c>
      <c r="C495" s="19" t="n">
        <v>6460.22</v>
      </c>
      <c r="D495" s="19" t="n">
        <v>0</v>
      </c>
      <c r="E495" s="19"/>
      <c r="F495" s="20" t="b">
        <f aca="false">FALSE()</f>
        <v>0</v>
      </c>
      <c r="G495" s="19" t="n">
        <v>0</v>
      </c>
    </row>
    <row r="496" customFormat="false" ht="15" hidden="false" customHeight="false" outlineLevel="0" collapsed="false">
      <c r="A496" s="19" t="n">
        <v>490934</v>
      </c>
      <c r="B496" s="19" t="n">
        <v>2051.48</v>
      </c>
      <c r="C496" s="19" t="n">
        <v>2051.48</v>
      </c>
      <c r="D496" s="19" t="n">
        <v>0</v>
      </c>
      <c r="E496" s="19"/>
      <c r="F496" s="20" t="b">
        <f aca="false">FALSE()</f>
        <v>0</v>
      </c>
      <c r="G496" s="19" t="n">
        <v>0</v>
      </c>
    </row>
    <row r="497" customFormat="false" ht="15" hidden="false" customHeight="false" outlineLevel="0" collapsed="false">
      <c r="A497" s="19" t="n">
        <v>492412</v>
      </c>
      <c r="B497" s="19" t="n">
        <v>12459.91</v>
      </c>
      <c r="C497" s="19" t="n">
        <v>12459.91</v>
      </c>
      <c r="D497" s="19" t="n">
        <v>0</v>
      </c>
      <c r="E497" s="19"/>
      <c r="F497" s="20" t="b">
        <f aca="false">FALSE()</f>
        <v>0</v>
      </c>
      <c r="G497" s="19" t="n">
        <v>0</v>
      </c>
    </row>
    <row r="498" customFormat="false" ht="15" hidden="false" customHeight="false" outlineLevel="0" collapsed="false">
      <c r="A498" s="19" t="n">
        <v>493696</v>
      </c>
      <c r="B498" s="19" t="n">
        <v>583911.52</v>
      </c>
      <c r="C498" s="19" t="n">
        <v>583911.52</v>
      </c>
      <c r="D498" s="19" t="n">
        <v>0</v>
      </c>
      <c r="E498" s="19"/>
      <c r="F498" s="20" t="b">
        <f aca="false">FALSE()</f>
        <v>0</v>
      </c>
      <c r="G498" s="19" t="n">
        <v>0</v>
      </c>
    </row>
    <row r="499" customFormat="false" ht="15" hidden="false" customHeight="false" outlineLevel="0" collapsed="false">
      <c r="A499" s="19" t="n">
        <v>494989</v>
      </c>
      <c r="B499" s="19" t="n">
        <v>28282.52</v>
      </c>
      <c r="C499" s="19" t="n">
        <v>28282.52</v>
      </c>
      <c r="D499" s="19" t="n">
        <v>0</v>
      </c>
      <c r="E499" s="19"/>
      <c r="F499" s="20" t="b">
        <f aca="false">FALSE()</f>
        <v>0</v>
      </c>
      <c r="G499" s="19" t="n">
        <v>0</v>
      </c>
    </row>
    <row r="500" customFormat="false" ht="15" hidden="false" customHeight="false" outlineLevel="0" collapsed="false">
      <c r="A500" s="19" t="n">
        <v>496347</v>
      </c>
      <c r="B500" s="19" t="n">
        <v>678</v>
      </c>
      <c r="C500" s="19" t="n">
        <v>678</v>
      </c>
      <c r="D500" s="19" t="n">
        <v>0</v>
      </c>
      <c r="E500" s="19"/>
      <c r="F500" s="20" t="b">
        <f aca="false">FALSE()</f>
        <v>0</v>
      </c>
      <c r="G500" s="19" t="n">
        <v>0</v>
      </c>
    </row>
    <row r="501" customFormat="false" ht="15" hidden="false" customHeight="false" outlineLevel="0" collapsed="false">
      <c r="A501" s="19" t="n">
        <v>497625</v>
      </c>
      <c r="B501" s="19" t="n">
        <v>14972.87</v>
      </c>
      <c r="C501" s="19" t="n">
        <v>14972.87</v>
      </c>
      <c r="D501" s="19" t="n">
        <v>0</v>
      </c>
      <c r="E501" s="19"/>
      <c r="F501" s="20" t="b">
        <f aca="false">FALSE()</f>
        <v>0</v>
      </c>
      <c r="G501" s="19" t="n">
        <v>0</v>
      </c>
    </row>
    <row r="502" customFormat="false" ht="15" hidden="false" customHeight="false" outlineLevel="0" collapsed="false">
      <c r="A502" s="19" t="n">
        <v>498914</v>
      </c>
      <c r="B502" s="19" t="n">
        <v>65529.54</v>
      </c>
      <c r="C502" s="19" t="n">
        <v>65529.54</v>
      </c>
      <c r="D502" s="19" t="n">
        <v>0</v>
      </c>
      <c r="E502" s="19"/>
      <c r="F502" s="20" t="b">
        <f aca="false">FALSE()</f>
        <v>0</v>
      </c>
      <c r="G502" s="19" t="n">
        <v>0</v>
      </c>
    </row>
    <row r="503" customFormat="false" ht="15" hidden="false" customHeight="false" outlineLevel="0" collapsed="false">
      <c r="A503" s="19" t="n">
        <v>500257</v>
      </c>
      <c r="B503" s="19" t="n">
        <v>16928.51</v>
      </c>
      <c r="C503" s="19" t="n">
        <v>16928.51</v>
      </c>
      <c r="D503" s="19" t="n">
        <v>0</v>
      </c>
      <c r="E503" s="19"/>
      <c r="F503" s="20" t="b">
        <f aca="false">FALSE()</f>
        <v>0</v>
      </c>
      <c r="G503" s="19" t="n">
        <v>0</v>
      </c>
    </row>
    <row r="504" customFormat="false" ht="15" hidden="false" customHeight="false" outlineLevel="0" collapsed="false">
      <c r="A504" s="19" t="n">
        <v>501539</v>
      </c>
      <c r="B504" s="19" t="n">
        <v>5831.92</v>
      </c>
      <c r="C504" s="19" t="n">
        <v>5831.92</v>
      </c>
      <c r="D504" s="19" t="n">
        <v>0</v>
      </c>
      <c r="E504" s="19"/>
      <c r="F504" s="20" t="b">
        <f aca="false">FALSE()</f>
        <v>0</v>
      </c>
      <c r="G504" s="19" t="n">
        <v>0</v>
      </c>
    </row>
    <row r="505" customFormat="false" ht="15" hidden="false" customHeight="false" outlineLevel="0" collapsed="false">
      <c r="A505" s="19" t="n">
        <v>502793</v>
      </c>
      <c r="B505" s="19" t="n">
        <v>3243.33</v>
      </c>
      <c r="C505" s="19" t="n">
        <v>3243.33</v>
      </c>
      <c r="D505" s="19" t="n">
        <v>0</v>
      </c>
      <c r="E505" s="19"/>
      <c r="F505" s="20" t="b">
        <f aca="false">FALSE()</f>
        <v>0</v>
      </c>
      <c r="G505" s="19" t="n">
        <v>0</v>
      </c>
    </row>
    <row r="506" customFormat="false" ht="15" hidden="false" customHeight="false" outlineLevel="0" collapsed="false">
      <c r="A506" s="19" t="n">
        <v>504020</v>
      </c>
      <c r="B506" s="19" t="n">
        <v>32827.46</v>
      </c>
      <c r="C506" s="19" t="n">
        <v>32827.46</v>
      </c>
      <c r="D506" s="19" t="n">
        <v>0</v>
      </c>
      <c r="E506" s="19"/>
      <c r="F506" s="20" t="b">
        <f aca="false">FALSE()</f>
        <v>0</v>
      </c>
      <c r="G506" s="19" t="n">
        <v>0</v>
      </c>
    </row>
    <row r="507" customFormat="false" ht="15" hidden="false" customHeight="false" outlineLevel="0" collapsed="false">
      <c r="A507" s="19" t="n">
        <v>505337</v>
      </c>
      <c r="B507" s="19" t="n">
        <v>2474.34</v>
      </c>
      <c r="C507" s="19" t="n">
        <v>2474.34</v>
      </c>
      <c r="D507" s="19" t="n">
        <v>0</v>
      </c>
      <c r="E507" s="19"/>
      <c r="F507" s="20" t="b">
        <f aca="false">FALSE()</f>
        <v>0</v>
      </c>
      <c r="G507" s="19" t="n">
        <v>0</v>
      </c>
    </row>
    <row r="508" customFormat="false" ht="15" hidden="false" customHeight="false" outlineLevel="0" collapsed="false">
      <c r="A508" s="19" t="n">
        <v>506581</v>
      </c>
      <c r="B508" s="19" t="n">
        <v>4157.74</v>
      </c>
      <c r="C508" s="19" t="n">
        <v>4157.74</v>
      </c>
      <c r="D508" s="19" t="n">
        <v>0</v>
      </c>
      <c r="E508" s="19"/>
      <c r="F508" s="20" t="b">
        <f aca="false">FALSE()</f>
        <v>0</v>
      </c>
      <c r="G508" s="19" t="n">
        <v>0</v>
      </c>
    </row>
    <row r="509" customFormat="false" ht="15" hidden="false" customHeight="false" outlineLevel="0" collapsed="false">
      <c r="A509" s="19" t="n">
        <v>507889</v>
      </c>
      <c r="B509" s="19" t="n">
        <v>33621.87</v>
      </c>
      <c r="C509" s="19" t="n">
        <v>33621.87</v>
      </c>
      <c r="D509" s="19" t="n">
        <v>0</v>
      </c>
      <c r="E509" s="19"/>
      <c r="F509" s="20" t="b">
        <f aca="false">FALSE()</f>
        <v>0</v>
      </c>
      <c r="G509" s="19" t="n">
        <v>0</v>
      </c>
    </row>
    <row r="510" customFormat="false" ht="15" hidden="false" customHeight="false" outlineLevel="0" collapsed="false">
      <c r="A510" s="19" t="n">
        <v>509167</v>
      </c>
      <c r="B510" s="19" t="n">
        <v>42185.96</v>
      </c>
      <c r="C510" s="19" t="n">
        <v>42185.96</v>
      </c>
      <c r="D510" s="19" t="n">
        <v>0</v>
      </c>
      <c r="E510" s="19"/>
      <c r="F510" s="20" t="b">
        <f aca="false">FALSE()</f>
        <v>0</v>
      </c>
      <c r="G510" s="19" t="n">
        <v>0</v>
      </c>
    </row>
    <row r="511" customFormat="false" ht="15" hidden="false" customHeight="false" outlineLevel="0" collapsed="false">
      <c r="A511" s="19" t="n">
        <v>511206</v>
      </c>
      <c r="B511" s="19" t="n">
        <v>16338.77</v>
      </c>
      <c r="C511" s="19" t="n">
        <v>16338.77</v>
      </c>
      <c r="D511" s="19" t="n">
        <v>0</v>
      </c>
      <c r="E511" s="19"/>
      <c r="F511" s="20" t="b">
        <f aca="false">FALSE()</f>
        <v>0</v>
      </c>
      <c r="G511" s="19" t="n">
        <v>0</v>
      </c>
    </row>
    <row r="512" customFormat="false" ht="15" hidden="false" customHeight="false" outlineLevel="0" collapsed="false">
      <c r="A512" s="19" t="n">
        <v>514542</v>
      </c>
      <c r="B512" s="19" t="n">
        <v>1253.61</v>
      </c>
      <c r="C512" s="19" t="n">
        <v>1253.61</v>
      </c>
      <c r="D512" s="19" t="n">
        <v>0</v>
      </c>
      <c r="E512" s="19"/>
      <c r="F512" s="20" t="b">
        <f aca="false">FALSE()</f>
        <v>0</v>
      </c>
      <c r="G512" s="19" t="n">
        <v>0</v>
      </c>
    </row>
    <row r="513" customFormat="false" ht="15" hidden="false" customHeight="false" outlineLevel="0" collapsed="false">
      <c r="A513" s="19" t="n">
        <v>517859</v>
      </c>
      <c r="B513" s="19" t="n">
        <v>1818.18</v>
      </c>
      <c r="C513" s="19" t="n">
        <v>1818.18</v>
      </c>
      <c r="D513" s="19" t="n">
        <v>0</v>
      </c>
      <c r="E513" s="19"/>
      <c r="F513" s="20" t="b">
        <f aca="false">FALSE()</f>
        <v>0</v>
      </c>
      <c r="G513" s="19" t="n">
        <v>0</v>
      </c>
    </row>
    <row r="514" customFormat="false" ht="15" hidden="false" customHeight="false" outlineLevel="0" collapsed="false">
      <c r="A514" s="19" t="n">
        <v>520058</v>
      </c>
      <c r="B514" s="19" t="n">
        <v>321000</v>
      </c>
      <c r="C514" s="19" t="n">
        <v>321000</v>
      </c>
      <c r="D514" s="19" t="n">
        <v>0</v>
      </c>
      <c r="E514" s="19"/>
      <c r="F514" s="20" t="b">
        <f aca="false">FALSE()</f>
        <v>0</v>
      </c>
      <c r="G514" s="1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20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112</v>
      </c>
      <c r="B4" s="3" t="s">
        <v>113</v>
      </c>
      <c r="C4" s="3" t="s">
        <v>114</v>
      </c>
      <c r="D4" s="3" t="s">
        <v>115</v>
      </c>
      <c r="E4" s="3" t="s">
        <v>116</v>
      </c>
      <c r="F4" s="3" t="s">
        <v>117</v>
      </c>
    </row>
    <row r="5" customFormat="false" ht="15" hidden="false" customHeight="false" outlineLevel="0" collapsed="false">
      <c r="A5" s="4" t="s">
        <v>118</v>
      </c>
      <c r="B5" s="12" t="n">
        <f aca="false">19513*1000</f>
        <v>19513000</v>
      </c>
      <c r="C5" s="14" t="n">
        <v>19919495.54</v>
      </c>
      <c r="D5" s="12" t="n">
        <f aca="false">C5-B5</f>
        <v>406495.539999999</v>
      </c>
      <c r="E5" s="14" t="n">
        <v>406495.54</v>
      </c>
      <c r="F5" s="12" t="n">
        <f aca="false">ROUND(D5-E5,2)</f>
        <v>0</v>
      </c>
    </row>
    <row r="6" customFormat="false" ht="15" hidden="false" customHeight="false" outlineLevel="0" collapsed="false">
      <c r="A6" s="4" t="s">
        <v>119</v>
      </c>
      <c r="B6" s="12" t="n">
        <f aca="false">197453*1000</f>
        <v>197453000</v>
      </c>
      <c r="C6" s="14" t="n">
        <v>201029967.56</v>
      </c>
      <c r="D6" s="12" t="n">
        <f aca="false">C6-B6</f>
        <v>3576967.56</v>
      </c>
      <c r="E6" s="14" t="n">
        <v>3576967.56</v>
      </c>
      <c r="F6" s="12" t="n">
        <f aca="false">ROUND(D6-E6,2)</f>
        <v>0</v>
      </c>
    </row>
    <row r="7" customFormat="false" ht="15" hidden="false" customHeight="false" outlineLevel="0" collapsed="false">
      <c r="A7" s="4" t="s">
        <v>120</v>
      </c>
      <c r="B7" s="12" t="n">
        <f aca="false">485897*1000</f>
        <v>485897000</v>
      </c>
      <c r="C7" s="14" t="n">
        <v>488394906.22</v>
      </c>
      <c r="D7" s="12" t="n">
        <f aca="false">C7-B7</f>
        <v>2497906.22000003</v>
      </c>
      <c r="E7" s="14" t="n">
        <v>2497906.22</v>
      </c>
      <c r="F7" s="12" t="n">
        <f aca="false">ROUND(D7-E7,2)</f>
        <v>0</v>
      </c>
    </row>
    <row r="8" customFormat="false" ht="15" hidden="false" customHeight="false" outlineLevel="0" collapsed="false">
      <c r="A8" s="4" t="s">
        <v>121</v>
      </c>
      <c r="B8" s="12" t="n">
        <f aca="false">1421820*1000</f>
        <v>1421820000</v>
      </c>
      <c r="C8" s="14" t="n">
        <v>1432829371.33</v>
      </c>
      <c r="D8" s="12" t="n">
        <f aca="false">C8-B8</f>
        <v>11009371.3299999</v>
      </c>
      <c r="E8" s="14" t="n">
        <v>11009371.33</v>
      </c>
      <c r="F8" s="12" t="n">
        <f aca="false">ROUND(D8-E8,2)</f>
        <v>-0</v>
      </c>
    </row>
    <row r="9" customFormat="false" ht="15" hidden="false" customHeight="false" outlineLevel="0" collapsed="false">
      <c r="A9" s="4" t="s">
        <v>122</v>
      </c>
      <c r="B9" s="12" t="n">
        <f aca="false">1001151*1000</f>
        <v>1001151000</v>
      </c>
      <c r="C9" s="14" t="n">
        <v>1009009818.38</v>
      </c>
      <c r="D9" s="12" t="n">
        <f aca="false">C9-B9</f>
        <v>7858818.38</v>
      </c>
      <c r="E9" s="14" t="n">
        <v>7858818.38</v>
      </c>
      <c r="F9" s="12" t="n">
        <f aca="false">ROUND(D9-E9,2)</f>
        <v>0</v>
      </c>
    </row>
    <row r="10" customFormat="false" ht="15" hidden="false" customHeight="false" outlineLevel="0" collapsed="false">
      <c r="A10" s="8" t="s">
        <v>123</v>
      </c>
      <c r="B10" s="18" t="n">
        <f aca="false">SUM(B5:B9)</f>
        <v>3125834000</v>
      </c>
      <c r="C10" s="18" t="n">
        <f aca="false">SUM(C5:C9)</f>
        <v>3151183559.03</v>
      </c>
      <c r="D10" s="18" t="n">
        <f aca="false">SUM(D5:D9)</f>
        <v>25349559.03</v>
      </c>
      <c r="E10" s="18" t="n">
        <f aca="false">SUM(E5:E9)</f>
        <v>25349559.03</v>
      </c>
      <c r="F10" s="18" t="n">
        <f aca="false">SUM(F5:F9)</f>
        <v>0</v>
      </c>
    </row>
    <row r="12" customFormat="false" ht="15" hidden="false" customHeight="false" outlineLevel="0" collapsed="false">
      <c r="A12" s="3" t="s">
        <v>124</v>
      </c>
      <c r="B12" s="3" t="s">
        <v>125</v>
      </c>
      <c r="C12" s="3" t="s">
        <v>126</v>
      </c>
      <c r="D12" s="3" t="s">
        <v>46</v>
      </c>
      <c r="E12" s="3" t="s">
        <v>127</v>
      </c>
      <c r="F12" s="3" t="s">
        <v>34</v>
      </c>
    </row>
    <row r="13" customFormat="false" ht="15" hidden="false" customHeight="false" outlineLevel="0" collapsed="false">
      <c r="A13" s="4" t="s">
        <v>128</v>
      </c>
      <c r="B13" s="5" t="n">
        <v>7196637</v>
      </c>
      <c r="C13" s="7" t="n">
        <f aca="false">396609+1680131+5119897</f>
        <v>7196637</v>
      </c>
      <c r="D13" s="7" t="n">
        <f aca="false">B13-C13</f>
        <v>0</v>
      </c>
      <c r="E13" s="4" t="str">
        <f aca="false">IF(ABS(D13)&lt;=1,"CONFERE (&lt;= R$ 1 mil)","DIVERGE")</f>
        <v>CONFERE (&lt;= R$ 1 mil)</v>
      </c>
      <c r="F13" s="4" t="s">
        <v>129</v>
      </c>
    </row>
    <row r="14" customFormat="false" ht="15" hidden="false" customHeight="false" outlineLevel="0" collapsed="false">
      <c r="A14" s="4" t="s">
        <v>130</v>
      </c>
      <c r="B14" s="7" t="n">
        <f aca="false">3303420+3893217</f>
        <v>7196637</v>
      </c>
      <c r="C14" s="5" t="n">
        <v>7196637</v>
      </c>
      <c r="D14" s="7" t="n">
        <f aca="false">B14-C14</f>
        <v>0</v>
      </c>
      <c r="E14" s="4" t="str">
        <f aca="false">IF(ABS(D14)&lt;=1,"CONFERE (&lt;= R$ 1 mil)","DIVERGE")</f>
        <v>CONFERE (&lt;= R$ 1 mil)</v>
      </c>
      <c r="F14" s="4" t="s">
        <v>131</v>
      </c>
    </row>
    <row r="15" customFormat="false" ht="15" hidden="false" customHeight="false" outlineLevel="0" collapsed="false">
      <c r="A15" s="4" t="s">
        <v>132</v>
      </c>
      <c r="B15" s="7" t="n">
        <f aca="false">485897+1421820+1001151+197453+19513</f>
        <v>3125834</v>
      </c>
      <c r="C15" s="7" t="n">
        <f aca="false">1282510+1843324</f>
        <v>3125834</v>
      </c>
      <c r="D15" s="7" t="n">
        <f aca="false">B15-C15</f>
        <v>0</v>
      </c>
      <c r="E15" s="4" t="str">
        <f aca="false">IF(ABS(D15)&lt;=1,"CONFERE (&lt;= R$ 1 mil)","DIVERGE")</f>
        <v>CONFERE (&lt;= R$ 1 mil)</v>
      </c>
      <c r="F15" s="4" t="s">
        <v>133</v>
      </c>
    </row>
    <row r="16" customFormat="false" ht="15" hidden="false" customHeight="false" outlineLevel="0" collapsed="false">
      <c r="A16" s="4" t="s">
        <v>134</v>
      </c>
      <c r="B16" s="5" t="n">
        <v>1727447</v>
      </c>
      <c r="C16" s="7" t="n">
        <f aca="false">439254+1288193</f>
        <v>1727447</v>
      </c>
      <c r="D16" s="7" t="n">
        <f aca="false">B16-C16</f>
        <v>0</v>
      </c>
      <c r="E16" s="4" t="str">
        <f aca="false">IF(ABS(D16)&lt;=1,"CONFERE (&lt;= R$ 1 mil)","DIVERGE")</f>
        <v>CONFERE (&lt;= R$ 1 mil)</v>
      </c>
      <c r="F16" s="4" t="s">
        <v>135</v>
      </c>
    </row>
    <row r="17" customFormat="false" ht="15" hidden="false" customHeight="false" outlineLevel="0" collapsed="false">
      <c r="A17" s="4" t="s">
        <v>136</v>
      </c>
      <c r="B17" s="5" t="n">
        <v>1097208</v>
      </c>
      <c r="C17" s="7" t="n">
        <f aca="false">35558+1061650</f>
        <v>1097208</v>
      </c>
      <c r="D17" s="7" t="n">
        <f aca="false">B17-C17</f>
        <v>0</v>
      </c>
      <c r="E17" s="4" t="str">
        <f aca="false">IF(ABS(D17)&lt;=1,"CONFERE (&lt;= R$ 1 mil)","DIVERGE")</f>
        <v>CONFERE (&lt;= R$ 1 mil)</v>
      </c>
      <c r="F17" s="4" t="s">
        <v>137</v>
      </c>
    </row>
    <row r="18" customFormat="false" ht="15" hidden="false" customHeight="false" outlineLevel="0" collapsed="false">
      <c r="A18" s="4" t="s">
        <v>138</v>
      </c>
      <c r="B18" s="5" t="n">
        <v>608777</v>
      </c>
      <c r="C18" s="7" t="n">
        <f aca="false">113237+495540</f>
        <v>608777</v>
      </c>
      <c r="D18" s="7" t="n">
        <f aca="false">B18-C18</f>
        <v>0</v>
      </c>
      <c r="E18" s="4" t="str">
        <f aca="false">IF(ABS(D18)&lt;=1,"CONFERE (&lt;= R$ 1 mil)","DIVERGE")</f>
        <v>CONFERE (&lt;= R$ 1 mil)</v>
      </c>
      <c r="F18" s="4" t="s">
        <v>137</v>
      </c>
    </row>
    <row r="19" customFormat="false" ht="15" hidden="false" customHeight="false" outlineLevel="0" collapsed="false">
      <c r="A19" s="4" t="s">
        <v>139</v>
      </c>
      <c r="B19" s="5" t="n">
        <v>5119897</v>
      </c>
      <c r="C19" s="7" t="n">
        <f aca="false">4301053-62711+792204+89351</f>
        <v>5119897</v>
      </c>
      <c r="D19" s="7" t="n">
        <f aca="false">B19-C19</f>
        <v>0</v>
      </c>
      <c r="E19" s="4" t="str">
        <f aca="false">IF(ABS(D19)&lt;=1,"CONFERE (&lt;= R$ 1 mil)","DIVERGE")</f>
        <v>CONFERE (&lt;= R$ 1 mil)</v>
      </c>
      <c r="F19" s="4" t="s">
        <v>140</v>
      </c>
    </row>
    <row r="20" customFormat="false" ht="15" hidden="false" customHeight="false" outlineLevel="0" collapsed="false">
      <c r="A20" s="4" t="s">
        <v>141</v>
      </c>
      <c r="B20" s="5" t="n">
        <v>66575</v>
      </c>
      <c r="C20" s="5" t="n">
        <v>66574</v>
      </c>
      <c r="D20" s="7" t="n">
        <f aca="false">B20-C20</f>
        <v>1</v>
      </c>
      <c r="E20" s="4" t="str">
        <f aca="false">IF(ABS(D20)&lt;=1,"CONFERE (&lt;= R$ 1 mil)","DIVERGE")</f>
        <v>CONFERE (&lt;= R$ 1 mil)</v>
      </c>
      <c r="F20" s="4" t="s">
        <v>142</v>
      </c>
    </row>
    <row r="21" customFormat="false" ht="15" hidden="false" customHeight="false" outlineLevel="0" collapsed="false">
      <c r="A21" s="4" t="s">
        <v>143</v>
      </c>
      <c r="B21" s="5" t="n">
        <v>197453</v>
      </c>
      <c r="C21" s="7" t="n">
        <f aca="false">111323+124065-37935</f>
        <v>197453</v>
      </c>
      <c r="D21" s="7" t="n">
        <f aca="false">B21-C21</f>
        <v>0</v>
      </c>
      <c r="E21" s="4" t="str">
        <f aca="false">IF(ABS(D21)&lt;=1,"CONFERE (&lt;= R$ 1 mil)","DIVERGE")</f>
        <v>CONFERE (&lt;= R$ 1 mil)</v>
      </c>
      <c r="F21" s="4" t="s">
        <v>144</v>
      </c>
    </row>
    <row r="22" customFormat="false" ht="15" hidden="false" customHeight="false" outlineLevel="0" collapsed="false">
      <c r="A22" s="4" t="s">
        <v>145</v>
      </c>
      <c r="B22" s="5" t="n">
        <v>608777</v>
      </c>
      <c r="C22" s="7" t="n">
        <f aca="false">836309+429214-670620-67380+81254</f>
        <v>608777</v>
      </c>
      <c r="D22" s="7" t="n">
        <f aca="false">B22-C22</f>
        <v>0</v>
      </c>
      <c r="E22" s="4" t="str">
        <f aca="false">IF(ABS(D22)&lt;=1,"CONFERE (&lt;= R$ 1 mil)","DIVERGE")</f>
        <v>CONFERE (&lt;= R$ 1 mil)</v>
      </c>
      <c r="F22" s="4" t="s">
        <v>146</v>
      </c>
    </row>
    <row r="23" customFormat="false" ht="15" hidden="false" customHeight="false" outlineLevel="0" collapsed="false">
      <c r="A23" s="4" t="s">
        <v>147</v>
      </c>
      <c r="B23" s="5" t="n">
        <v>1097208</v>
      </c>
      <c r="C23" s="7" t="n">
        <f aca="false">300073+757911-59306+96628+1902</f>
        <v>1097208</v>
      </c>
      <c r="D23" s="7" t="n">
        <f aca="false">B23-C23</f>
        <v>0</v>
      </c>
      <c r="E23" s="4" t="str">
        <f aca="false">IF(ABS(D23)&lt;=1,"CONFERE (&lt;= R$ 1 mil)","DIVERGE")</f>
        <v>CONFERE (&lt;= R$ 1 mil)</v>
      </c>
      <c r="F23" s="4" t="s">
        <v>146</v>
      </c>
    </row>
    <row r="24" customFormat="false" ht="15" hidden="false" customHeight="false" outlineLevel="0" collapsed="false">
      <c r="A24" s="4" t="s">
        <v>148</v>
      </c>
      <c r="B24" s="5" t="n">
        <v>1187114</v>
      </c>
      <c r="C24" s="7" t="n">
        <f aca="false">429214+757911</f>
        <v>1187125</v>
      </c>
      <c r="D24" s="7" t="n">
        <f aca="false">B24-C24</f>
        <v>-11</v>
      </c>
      <c r="E24" s="4" t="str">
        <f aca="false">IF(ABS(D24)&lt;=1,"CONFERE (&lt;= R$ 1 mil)","DIVERGE")</f>
        <v>DIVERGE</v>
      </c>
      <c r="F24" s="4" t="s">
        <v>149</v>
      </c>
    </row>
    <row r="25" customFormat="false" ht="15" hidden="false" customHeight="false" outlineLevel="0" collapsed="false">
      <c r="A25" s="4" t="s">
        <v>150</v>
      </c>
      <c r="B25" s="7" t="n">
        <f aca="false">36152+2959+21775-12042</f>
        <v>48844</v>
      </c>
      <c r="C25" s="7" t="n">
        <f aca="false">45743+3101</f>
        <v>48844</v>
      </c>
      <c r="D25" s="7" t="n">
        <f aca="false">B25-C25</f>
        <v>0</v>
      </c>
      <c r="E25" s="4" t="str">
        <f aca="false">IF(ABS(D25)&lt;=1,"CONFERE (&lt;= R$ 1 mil)","DIVERGE")</f>
        <v>CONFERE (&lt;= R$ 1 mil)</v>
      </c>
      <c r="F25" s="4" t="s">
        <v>151</v>
      </c>
    </row>
    <row r="26" customFormat="false" ht="15" hidden="false" customHeight="false" outlineLevel="0" collapsed="false">
      <c r="A26" s="4" t="s">
        <v>152</v>
      </c>
      <c r="B26" s="7" t="n">
        <f aca="false">985389+40021+466557</f>
        <v>1491967</v>
      </c>
      <c r="C26" s="5" t="n">
        <v>1491967</v>
      </c>
      <c r="D26" s="7" t="n">
        <f aca="false">B26-C26</f>
        <v>0</v>
      </c>
      <c r="E26" s="4" t="str">
        <f aca="false">IF(ABS(D26)&lt;=1,"CONFERE (&lt;= R$ 1 mil)","DIVERGE")</f>
        <v>CONFERE (&lt;= R$ 1 mil)</v>
      </c>
      <c r="F26" s="4" t="s">
        <v>153</v>
      </c>
    </row>
    <row r="27" customFormat="false" ht="15" hidden="false" customHeight="false" outlineLevel="0" collapsed="false">
      <c r="A27" s="4" t="s">
        <v>154</v>
      </c>
      <c r="B27" s="7" t="n">
        <f aca="false">13835+6162</f>
        <v>19997</v>
      </c>
      <c r="C27" s="5" t="n">
        <v>19997</v>
      </c>
      <c r="D27" s="7" t="n">
        <f aca="false">B27-C27</f>
        <v>0</v>
      </c>
      <c r="E27" s="4" t="str">
        <f aca="false">IF(ABS(D27)&lt;=1,"CONFERE (&lt;= R$ 1 mil)","DIVERGE")</f>
        <v>CONFERE (&lt;= R$ 1 mil)</v>
      </c>
      <c r="F27" s="4" t="s">
        <v>155</v>
      </c>
    </row>
    <row r="28" customFormat="false" ht="15" hidden="false" customHeight="false" outlineLevel="0" collapsed="false">
      <c r="A28" s="4" t="s">
        <v>156</v>
      </c>
      <c r="B28" s="5" t="n">
        <v>85425</v>
      </c>
      <c r="C28" s="7" t="n">
        <f aca="false">18097+67328</f>
        <v>85425</v>
      </c>
      <c r="D28" s="7" t="n">
        <f aca="false">B28-C28</f>
        <v>0</v>
      </c>
      <c r="E28" s="4" t="str">
        <f aca="false">IF(ABS(D28)&lt;=1,"CONFERE (&lt;= R$ 1 mil)","DIVERGE")</f>
        <v>CONFERE (&lt;= R$ 1 mil)</v>
      </c>
      <c r="F28" s="4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159</v>
      </c>
      <c r="B4" s="3" t="s">
        <v>160</v>
      </c>
      <c r="C4" s="3" t="s">
        <v>161</v>
      </c>
      <c r="D4" s="3" t="s">
        <v>162</v>
      </c>
      <c r="E4" s="3" t="s">
        <v>163</v>
      </c>
    </row>
    <row r="5" customFormat="false" ht="15" hidden="false" customHeight="false" outlineLevel="0" collapsed="false">
      <c r="A5" s="4" t="s">
        <v>164</v>
      </c>
      <c r="B5" s="16" t="n">
        <v>180</v>
      </c>
      <c r="C5" s="14" t="n">
        <v>7006799.88</v>
      </c>
      <c r="D5" s="14" t="n">
        <v>7006799.88</v>
      </c>
      <c r="E5" s="4" t="s">
        <v>165</v>
      </c>
    </row>
    <row r="6" customFormat="false" ht="15" hidden="false" customHeight="false" outlineLevel="0" collapsed="false">
      <c r="A6" s="4" t="s">
        <v>166</v>
      </c>
      <c r="B6" s="16" t="n">
        <v>150</v>
      </c>
      <c r="C6" s="14" t="n">
        <v>0</v>
      </c>
      <c r="D6" s="14" t="n">
        <v>6760303.64</v>
      </c>
      <c r="E6" s="4" t="s">
        <v>165</v>
      </c>
    </row>
    <row r="7" customFormat="false" ht="15" hidden="false" customHeight="false" outlineLevel="0" collapsed="false">
      <c r="A7" s="4" t="s">
        <v>167</v>
      </c>
      <c r="B7" s="16" t="n">
        <v>60</v>
      </c>
      <c r="C7" s="14" t="n">
        <v>11881725.29</v>
      </c>
      <c r="D7" s="14" t="n">
        <v>11881725.29</v>
      </c>
      <c r="E7" s="4" t="s">
        <v>165</v>
      </c>
    </row>
    <row r="8" customFormat="false" ht="15" hidden="false" customHeight="false" outlineLevel="0" collapsed="false">
      <c r="A8" s="4" t="s">
        <v>168</v>
      </c>
      <c r="B8" s="16" t="n">
        <v>120</v>
      </c>
      <c r="C8" s="14" t="n">
        <v>0</v>
      </c>
      <c r="D8" s="14" t="n">
        <v>0</v>
      </c>
      <c r="E8" s="4" t="s">
        <v>165</v>
      </c>
    </row>
    <row r="9" customFormat="false" ht="15" hidden="false" customHeight="false" outlineLevel="0" collapsed="false">
      <c r="A9" s="4" t="s">
        <v>169</v>
      </c>
      <c r="B9" s="16" t="n">
        <v>70</v>
      </c>
      <c r="C9" s="14" t="n">
        <v>0</v>
      </c>
      <c r="D9" s="14" t="n">
        <v>1790351.36</v>
      </c>
      <c r="E9" s="4" t="s">
        <v>165</v>
      </c>
    </row>
    <row r="10" customFormat="false" ht="15" hidden="false" customHeight="false" outlineLevel="0" collapsed="false">
      <c r="A10" s="4" t="s">
        <v>170</v>
      </c>
      <c r="B10" s="16" t="n">
        <v>60</v>
      </c>
      <c r="C10" s="14" t="n">
        <v>3081844.73</v>
      </c>
      <c r="D10" s="14" t="n">
        <v>3081844.73</v>
      </c>
      <c r="E10" s="4" t="s">
        <v>165</v>
      </c>
    </row>
    <row r="11" customFormat="false" ht="15" hidden="false" customHeight="false" outlineLevel="0" collapsed="false">
      <c r="A11" s="4" t="s">
        <v>171</v>
      </c>
      <c r="B11" s="16" t="n">
        <v>110</v>
      </c>
      <c r="C11" s="14" t="n">
        <v>0</v>
      </c>
      <c r="D11" s="14" t="n">
        <v>1911783.11</v>
      </c>
      <c r="E11" s="4" t="s">
        <v>165</v>
      </c>
    </row>
    <row r="12" customFormat="false" ht="15" hidden="false" customHeight="false" outlineLevel="0" collapsed="false">
      <c r="A12" s="4" t="s">
        <v>172</v>
      </c>
      <c r="B12" s="16" t="n">
        <v>45</v>
      </c>
      <c r="C12" s="14" t="n">
        <v>0</v>
      </c>
      <c r="D12" s="14" t="n">
        <v>2353434.42</v>
      </c>
      <c r="E12" s="4" t="s">
        <v>165</v>
      </c>
    </row>
    <row r="13" customFormat="false" ht="15" hidden="false" customHeight="false" outlineLevel="0" collapsed="false">
      <c r="A13" s="4" t="s">
        <v>173</v>
      </c>
      <c r="B13" s="16" t="n">
        <v>50</v>
      </c>
      <c r="C13" s="14" t="n">
        <v>-328146.76</v>
      </c>
      <c r="D13" s="14" t="n">
        <v>-328146.76</v>
      </c>
      <c r="E13" s="4" t="s">
        <v>165</v>
      </c>
    </row>
    <row r="14" customFormat="false" ht="15" hidden="false" customHeight="false" outlineLevel="0" collapsed="false">
      <c r="A14" s="4" t="s">
        <v>174</v>
      </c>
      <c r="B14" s="16" t="n">
        <v>60</v>
      </c>
      <c r="C14" s="14" t="n">
        <v>3707335.89</v>
      </c>
      <c r="D14" s="14" t="n">
        <v>3707335.89</v>
      </c>
      <c r="E14" s="4" t="s">
        <v>165</v>
      </c>
    </row>
    <row r="15" customFormat="false" ht="15" hidden="false" customHeight="false" outlineLevel="0" collapsed="false">
      <c r="A15" s="8" t="s">
        <v>123</v>
      </c>
      <c r="B15" s="21" t="n">
        <f aca="false">SUM(B5:B14)</f>
        <v>905</v>
      </c>
      <c r="C15" s="18" t="n">
        <f aca="false">SUM(C5:C14)</f>
        <v>25349559.03</v>
      </c>
      <c r="D15" s="18" t="n">
        <f aca="false">SUM(D5:D14)</f>
        <v>38165431.56</v>
      </c>
    </row>
    <row r="17" customFormat="false" ht="15" hidden="false" customHeight="false" outlineLevel="0" collapsed="false">
      <c r="A17" s="4" t="s">
        <v>175</v>
      </c>
      <c r="D17" s="7" t="n">
        <f aca="false">D15/1000</f>
        <v>38165.43156</v>
      </c>
    </row>
    <row r="18" customFormat="false" ht="15" hidden="false" customHeight="false" outlineLevel="0" collapsed="false">
      <c r="A18" s="4" t="s">
        <v>176</v>
      </c>
      <c r="D18" s="7" t="n">
        <f aca="false">PT320!B12</f>
        <v>30079</v>
      </c>
    </row>
    <row r="19" customFormat="false" ht="15" hidden="false" customHeight="false" outlineLevel="0" collapsed="false">
      <c r="A19" s="4" t="s">
        <v>177</v>
      </c>
      <c r="D19" s="7" t="n">
        <f aca="false">PT320!B14</f>
        <v>19551</v>
      </c>
    </row>
    <row r="20" customFormat="false" ht="15" hidden="false" customHeight="false" outlineLevel="0" collapsed="false">
      <c r="A20" s="4" t="s">
        <v>178</v>
      </c>
      <c r="D20" s="7" t="n">
        <f aca="false">PT320!B16</f>
        <v>1504</v>
      </c>
    </row>
    <row r="21" customFormat="false" ht="15" hidden="false" customHeight="false" outlineLevel="0" collapsed="false">
      <c r="A21" s="4" t="s">
        <v>179</v>
      </c>
      <c r="D21" s="10" t="n">
        <f aca="false">D17/D18</f>
        <v>1.26883977392865</v>
      </c>
    </row>
    <row r="22" customFormat="false" ht="15" hidden="false" customHeight="false" outlineLevel="0" collapsed="false">
      <c r="A22" s="4" t="s">
        <v>180</v>
      </c>
      <c r="D22" s="4" t="str">
        <f aca="false">IF(D17&gt;D18,"EXCEDE a materialidade global (se fossem reais: ajuste ou modificacao de opiniao)",IF(D17&gt;D19,"Excede a PM; abaixo da global: avaliar qualitativamente","Abaixo da PM"))</f>
        <v>EXCEDE a materialidade global (se fossem reais: ajuste ou modificacao de opiniao)</v>
      </c>
    </row>
    <row r="24" customFormat="false" ht="15" hidden="false" customHeight="false" outlineLevel="0" collapsed="false">
      <c r="A24" s="4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1" t="s">
        <v>182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4" t="s">
        <v>183</v>
      </c>
      <c r="B4" s="5" t="n">
        <v>2889190</v>
      </c>
    </row>
    <row r="5" customFormat="false" ht="15" hidden="false" customHeight="false" outlineLevel="0" collapsed="false">
      <c r="A5" s="4" t="s">
        <v>184</v>
      </c>
      <c r="B5" s="5" t="n">
        <v>1819076</v>
      </c>
    </row>
    <row r="6" customFormat="false" ht="15" hidden="false" customHeight="false" outlineLevel="0" collapsed="false">
      <c r="A6" s="4" t="s">
        <v>185</v>
      </c>
      <c r="B6" s="5" t="n">
        <v>871239</v>
      </c>
    </row>
    <row r="7" customFormat="false" ht="15" hidden="false" customHeight="false" outlineLevel="0" collapsed="false">
      <c r="A7" s="4" t="s">
        <v>186</v>
      </c>
      <c r="B7" s="22" t="n">
        <f aca="false">B6/B5</f>
        <v>0.478945904404214</v>
      </c>
      <c r="C7" s="4" t="s">
        <v>187</v>
      </c>
    </row>
    <row r="8" customFormat="false" ht="15" hidden="false" customHeight="false" outlineLevel="0" collapsed="false">
      <c r="A8" s="4" t="s">
        <v>188</v>
      </c>
      <c r="B8" s="7" t="n">
        <f aca="false">B4*B7</f>
        <v>1383765.71754561</v>
      </c>
      <c r="C8" s="4" t="s">
        <v>189</v>
      </c>
    </row>
    <row r="10" customFormat="false" ht="15" hidden="false" customHeight="false" outlineLevel="0" collapsed="false">
      <c r="A10" s="3" t="s">
        <v>190</v>
      </c>
      <c r="B10" s="3" t="s">
        <v>191</v>
      </c>
      <c r="C10" s="3" t="s">
        <v>192</v>
      </c>
      <c r="D10" s="3" t="s">
        <v>193</v>
      </c>
      <c r="E10" s="3" t="s">
        <v>194</v>
      </c>
      <c r="F10" s="3" t="s">
        <v>195</v>
      </c>
    </row>
    <row r="11" customFormat="false" ht="15" hidden="false" customHeight="false" outlineLevel="0" collapsed="false">
      <c r="A11" s="4" t="s">
        <v>196</v>
      </c>
      <c r="B11" s="23" t="n">
        <v>-0.1</v>
      </c>
      <c r="C11" s="23" t="n">
        <v>-0.05</v>
      </c>
      <c r="D11" s="23" t="n">
        <v>0</v>
      </c>
      <c r="E11" s="23" t="n">
        <v>0.05</v>
      </c>
      <c r="F11" s="23" t="n">
        <v>0.1</v>
      </c>
    </row>
    <row r="12" customFormat="false" ht="15" hidden="false" customHeight="false" outlineLevel="0" collapsed="false">
      <c r="A12" s="4" t="s">
        <v>197</v>
      </c>
      <c r="B12" s="7" t="n">
        <f aca="false">$B$5*(1+B11)</f>
        <v>1637168.4</v>
      </c>
      <c r="C12" s="7" t="n">
        <f aca="false">$B$5*(1+C11)</f>
        <v>1728122.2</v>
      </c>
      <c r="D12" s="7" t="n">
        <f aca="false">$B$5*(1+D11)</f>
        <v>1819076</v>
      </c>
      <c r="E12" s="7" t="n">
        <f aca="false">$B$5*(1+E11)</f>
        <v>1910029.8</v>
      </c>
      <c r="F12" s="7" t="n">
        <f aca="false">$B$5*(1+F11)</f>
        <v>2000983.6</v>
      </c>
    </row>
    <row r="13" customFormat="false" ht="15" hidden="false" customHeight="false" outlineLevel="0" collapsed="false">
      <c r="A13" s="4" t="s">
        <v>198</v>
      </c>
      <c r="B13" s="22" t="n">
        <f aca="false">$B$6/B12</f>
        <v>0.532162116004682</v>
      </c>
      <c r="C13" s="22" t="n">
        <f aca="false">$B$6/C12</f>
        <v>0.504153583583383</v>
      </c>
      <c r="D13" s="22" t="n">
        <f aca="false">$B$6/D12</f>
        <v>0.478945904404214</v>
      </c>
      <c r="E13" s="22" t="n">
        <f aca="false">$B$6/E12</f>
        <v>0.456138956575442</v>
      </c>
      <c r="F13" s="22" t="n">
        <f aca="false">$B$6/F12</f>
        <v>0.435405367640195</v>
      </c>
    </row>
    <row r="14" customFormat="false" ht="15" hidden="false" customHeight="false" outlineLevel="0" collapsed="false">
      <c r="A14" s="4" t="s">
        <v>199</v>
      </c>
      <c r="B14" s="7" t="n">
        <f aca="false">$B$4*B13</f>
        <v>1537517.46393957</v>
      </c>
      <c r="C14" s="7" t="n">
        <f aca="false">$B$4*C13</f>
        <v>1456595.49215327</v>
      </c>
      <c r="D14" s="7" t="n">
        <f aca="false">$B$4*D13</f>
        <v>1383765.71754561</v>
      </c>
      <c r="E14" s="7" t="n">
        <f aca="false">$B$4*E13</f>
        <v>1317872.1119482</v>
      </c>
      <c r="F14" s="7" t="n">
        <f aca="false">$B$4*F13</f>
        <v>1257968.83413237</v>
      </c>
    </row>
    <row r="15" customFormat="false" ht="15" hidden="false" customHeight="false" outlineLevel="0" collapsed="false">
      <c r="A15" s="4" t="s">
        <v>200</v>
      </c>
      <c r="B15" s="7" t="n">
        <f aca="false">B14-$B$8</f>
        <v>153751.746393957</v>
      </c>
      <c r="C15" s="7" t="n">
        <f aca="false">C14-$B$8</f>
        <v>72829.7746076637</v>
      </c>
      <c r="D15" s="7" t="n">
        <f aca="false">D14-$B$8</f>
        <v>0</v>
      </c>
      <c r="E15" s="7" t="n">
        <f aca="false">E14-$B$8</f>
        <v>-65893.6055974101</v>
      </c>
      <c r="F15" s="7" t="n">
        <f aca="false">F14-$B$8</f>
        <v>-125796.883413237</v>
      </c>
    </row>
    <row r="16" customFormat="false" ht="15" hidden="false" customHeight="false" outlineLevel="0" collapsed="false">
      <c r="A16" s="4" t="s">
        <v>201</v>
      </c>
      <c r="B16" s="4" t="str">
        <f aca="false">IF(ABS(B15)&gt;PT320!$B$14,"&gt; PM","&lt;= PM")</f>
        <v>&gt; PM</v>
      </c>
      <c r="C16" s="4" t="str">
        <f aca="false">IF(ABS(C15)&gt;PT320!$B$14,"&gt; PM","&lt;= PM")</f>
        <v>&gt; PM</v>
      </c>
      <c r="D16" s="4" t="str">
        <f aca="false">IF(ABS(D15)&gt;PT320!$B$14,"&gt; PM","&lt;= PM")</f>
        <v>&lt;= PM</v>
      </c>
      <c r="E16" s="4" t="str">
        <f aca="false">IF(ABS(E15)&gt;PT320!$B$14,"&gt; PM","&lt;= PM")</f>
        <v>&gt; PM</v>
      </c>
      <c r="F16" s="4" t="str">
        <f aca="false">IF(ABS(F15)&gt;PT320!$B$14,"&gt; PM","&lt;= PM")</f>
        <v>&gt; PM</v>
      </c>
    </row>
    <row r="18" customFormat="false" ht="15" hidden="false" customHeight="false" outlineLevel="0" collapsed="false">
      <c r="A18" s="4" t="s">
        <v>202</v>
      </c>
      <c r="B18" s="22" t="n">
        <f aca="false">B6/(B7-PT320!B14/B4)/B5-1</f>
        <v>0.0143313217109802</v>
      </c>
    </row>
    <row r="19" customFormat="false" ht="15" hidden="false" customHeight="false" outlineLevel="0" collapsed="false">
      <c r="A19" s="4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6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" t="s">
        <v>204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205</v>
      </c>
      <c r="B4" s="3" t="s">
        <v>32</v>
      </c>
      <c r="C4" s="3" t="s">
        <v>33</v>
      </c>
      <c r="D4" s="3" t="s">
        <v>58</v>
      </c>
      <c r="E4" s="3" t="s">
        <v>34</v>
      </c>
    </row>
    <row r="5" customFormat="false" ht="15" hidden="false" customHeight="false" outlineLevel="0" collapsed="false">
      <c r="A5" s="4" t="s">
        <v>206</v>
      </c>
      <c r="B5" s="5" t="n">
        <v>3303420</v>
      </c>
      <c r="C5" s="5" t="n">
        <v>2616102</v>
      </c>
      <c r="D5" s="5" t="n">
        <v>2510852</v>
      </c>
      <c r="E5" s="4" t="s">
        <v>207</v>
      </c>
    </row>
    <row r="6" customFormat="false" ht="15" hidden="false" customHeight="false" outlineLevel="0" collapsed="false">
      <c r="A6" s="4" t="s">
        <v>208</v>
      </c>
      <c r="B6" s="5" t="n">
        <v>396609</v>
      </c>
      <c r="C6" s="5" t="n">
        <v>382378</v>
      </c>
      <c r="D6" s="5" t="n">
        <v>402620</v>
      </c>
      <c r="E6" s="4" t="s">
        <v>209</v>
      </c>
    </row>
    <row r="7" customFormat="false" ht="15" hidden="false" customHeight="false" outlineLevel="0" collapsed="false">
      <c r="A7" s="4" t="s">
        <v>210</v>
      </c>
      <c r="B7" s="5" t="n">
        <v>66575</v>
      </c>
      <c r="C7" s="5" t="n">
        <v>71381</v>
      </c>
      <c r="D7" s="5" t="n">
        <v>84186</v>
      </c>
      <c r="E7" s="4" t="s">
        <v>207</v>
      </c>
    </row>
    <row r="8" customFormat="false" ht="15" hidden="false" customHeight="false" outlineLevel="0" collapsed="false">
      <c r="A8" s="4" t="s">
        <v>211</v>
      </c>
      <c r="B8" s="5" t="n">
        <v>1491967</v>
      </c>
      <c r="C8" s="5" t="n">
        <v>699051</v>
      </c>
      <c r="D8" s="5" t="n">
        <v>678090</v>
      </c>
      <c r="E8" s="4" t="s">
        <v>207</v>
      </c>
    </row>
    <row r="9" customFormat="false" ht="15" hidden="false" customHeight="false" outlineLevel="0" collapsed="false">
      <c r="A9" s="4" t="s">
        <v>212</v>
      </c>
      <c r="B9" s="5" t="n">
        <v>148795</v>
      </c>
      <c r="C9" s="5" t="n">
        <v>85958</v>
      </c>
      <c r="D9" s="5" t="n">
        <v>136471</v>
      </c>
      <c r="E9" s="4" t="s">
        <v>209</v>
      </c>
    </row>
    <row r="10" customFormat="false" ht="15" hidden="false" customHeight="false" outlineLevel="0" collapsed="false">
      <c r="A10" s="4" t="s">
        <v>213</v>
      </c>
      <c r="B10" s="5" t="n">
        <v>1557190</v>
      </c>
      <c r="C10" s="5" t="n">
        <v>1050424</v>
      </c>
      <c r="D10" s="5" t="n">
        <v>719700</v>
      </c>
      <c r="E10" s="4" t="s">
        <v>209</v>
      </c>
    </row>
    <row r="11" customFormat="false" ht="15" hidden="false" customHeight="false" outlineLevel="0" collapsed="false">
      <c r="A11" s="4" t="s">
        <v>13</v>
      </c>
      <c r="B11" s="5" t="n">
        <v>5119897</v>
      </c>
      <c r="C11" s="5" t="n">
        <v>4883126</v>
      </c>
      <c r="D11" s="5" t="n">
        <v>4705064</v>
      </c>
      <c r="E11" s="4" t="s">
        <v>214</v>
      </c>
    </row>
    <row r="12" customFormat="false" ht="15" hidden="false" customHeight="false" outlineLevel="0" collapsed="false">
      <c r="A12" s="4" t="s">
        <v>215</v>
      </c>
      <c r="B12" s="5" t="n">
        <v>503785</v>
      </c>
      <c r="C12" s="5" t="n">
        <v>-28991</v>
      </c>
      <c r="D12" s="5" t="n">
        <v>-228599</v>
      </c>
      <c r="E12" s="4" t="s">
        <v>216</v>
      </c>
    </row>
    <row r="14" customFormat="false" ht="15" hidden="false" customHeight="false" outlineLevel="0" collapsed="false">
      <c r="A14" s="4" t="s">
        <v>217</v>
      </c>
      <c r="B14" s="24" t="n">
        <f aca="false">B5/B6</f>
        <v>8.32916045778084</v>
      </c>
      <c r="C14" s="24" t="n">
        <f aca="false">C5/C6</f>
        <v>6.84166453090921</v>
      </c>
      <c r="D14" s="24" t="n">
        <f aca="false">D5/D6</f>
        <v>6.23628235060355</v>
      </c>
    </row>
    <row r="15" customFormat="false" ht="15" hidden="false" customHeight="false" outlineLevel="0" collapsed="false">
      <c r="A15" s="4" t="s">
        <v>218</v>
      </c>
      <c r="B15" s="7" t="n">
        <f aca="false">B7+B8</f>
        <v>1558542</v>
      </c>
      <c r="C15" s="7" t="n">
        <f aca="false">C7+C8</f>
        <v>770432</v>
      </c>
      <c r="D15" s="7" t="n">
        <f aca="false">D7+D8</f>
        <v>762276</v>
      </c>
    </row>
    <row r="16" customFormat="false" ht="15" hidden="false" customHeight="false" outlineLevel="0" collapsed="false">
      <c r="A16" s="4" t="s">
        <v>219</v>
      </c>
      <c r="B16" s="24" t="n">
        <f aca="false">B15/B6</f>
        <v>3.92966876697201</v>
      </c>
      <c r="C16" s="24" t="n">
        <f aca="false">C15/C6</f>
        <v>2.01484395022726</v>
      </c>
      <c r="D16" s="24" t="n">
        <f aca="false">D15/D6</f>
        <v>1.89328895732949</v>
      </c>
    </row>
    <row r="17" customFormat="false" ht="15" hidden="false" customHeight="false" outlineLevel="0" collapsed="false">
      <c r="A17" s="4" t="s">
        <v>220</v>
      </c>
      <c r="B17" s="7" t="n">
        <f aca="false">B9+B10</f>
        <v>1705985</v>
      </c>
      <c r="C17" s="7" t="n">
        <f aca="false">C9+C10</f>
        <v>1136382</v>
      </c>
      <c r="D17" s="7" t="n">
        <f aca="false">D9+D10</f>
        <v>856171</v>
      </c>
    </row>
    <row r="18" customFormat="false" ht="15" hidden="false" customHeight="false" outlineLevel="0" collapsed="false">
      <c r="A18" s="4" t="s">
        <v>221</v>
      </c>
      <c r="B18" s="7" t="n">
        <f aca="false">B17-B15</f>
        <v>147443</v>
      </c>
      <c r="C18" s="7" t="n">
        <f aca="false">C17-C15</f>
        <v>365950</v>
      </c>
      <c r="D18" s="7" t="n">
        <f aca="false">D17-D15</f>
        <v>93895</v>
      </c>
    </row>
    <row r="19" customFormat="false" ht="15" hidden="false" customHeight="false" outlineLevel="0" collapsed="false">
      <c r="A19" s="4" t="s">
        <v>222</v>
      </c>
      <c r="B19" s="10" t="n">
        <f aca="false">B17/B11</f>
        <v>0.333206898498153</v>
      </c>
      <c r="C19" s="10" t="n">
        <f aca="false">C17/C11</f>
        <v>0.232716092109849</v>
      </c>
      <c r="D19" s="10" t="n">
        <f aca="false">D17/D11</f>
        <v>0.181967981732023</v>
      </c>
    </row>
    <row r="20" customFormat="false" ht="15" hidden="false" customHeight="false" outlineLevel="0" collapsed="false">
      <c r="A20" s="4" t="s">
        <v>223</v>
      </c>
      <c r="B20" s="10" t="n">
        <f aca="false">B18/B11</f>
        <v>0.0287980402730758</v>
      </c>
      <c r="C20" s="10" t="n">
        <f aca="false">C18/C11</f>
        <v>0.0749417483800336</v>
      </c>
      <c r="D20" s="10" t="n">
        <f aca="false">D18/D11</f>
        <v>0.0199561578758546</v>
      </c>
    </row>
    <row r="21" customFormat="false" ht="15" hidden="false" customHeight="false" outlineLevel="0" collapsed="false">
      <c r="A21" s="4" t="s">
        <v>224</v>
      </c>
      <c r="B21" s="25" t="n">
        <f aca="false">B15/B9</f>
        <v>10.4744245438355</v>
      </c>
      <c r="C21" s="25" t="n">
        <f aca="false">C15/C9</f>
        <v>8.9628888526955</v>
      </c>
      <c r="D21" s="25" t="n">
        <f aca="false">D15/D9</f>
        <v>5.58562625026562</v>
      </c>
    </row>
    <row r="23" customFormat="false" ht="15" hidden="false" customHeight="false" outlineLevel="0" collapsed="false">
      <c r="A23" s="3" t="s">
        <v>225</v>
      </c>
      <c r="B23" s="3" t="s">
        <v>77</v>
      </c>
      <c r="C23" s="3"/>
      <c r="D23" s="3"/>
      <c r="E23" s="3" t="s">
        <v>59</v>
      </c>
    </row>
    <row r="24" customFormat="false" ht="15" hidden="false" customHeight="false" outlineLevel="0" collapsed="false">
      <c r="A24" s="4" t="s">
        <v>226</v>
      </c>
      <c r="B24" s="5" t="n">
        <v>1097208</v>
      </c>
    </row>
    <row r="25" customFormat="false" ht="15" hidden="false" customHeight="false" outlineLevel="0" collapsed="false">
      <c r="A25" s="4" t="s">
        <v>227</v>
      </c>
      <c r="B25" s="7" t="n">
        <f aca="false">-B15</f>
        <v>-1558542</v>
      </c>
    </row>
    <row r="26" customFormat="false" ht="15" hidden="false" customHeight="false" outlineLevel="0" collapsed="false">
      <c r="A26" s="4" t="s">
        <v>228</v>
      </c>
      <c r="B26" s="7" t="n">
        <f aca="false">36421+28027</f>
        <v>64448</v>
      </c>
    </row>
    <row r="27" customFormat="false" ht="15" hidden="false" customHeight="false" outlineLevel="0" collapsed="false">
      <c r="A27" s="4" t="s">
        <v>229</v>
      </c>
      <c r="B27" s="7" t="n">
        <f aca="false">SUM(B24:B26)</f>
        <v>-396886</v>
      </c>
    </row>
    <row r="28" customFormat="false" ht="15" hidden="false" customHeight="false" outlineLevel="0" collapsed="false">
      <c r="A28" s="4" t="s">
        <v>230</v>
      </c>
      <c r="B28" s="24" t="n">
        <f aca="false">B27/B11</f>
        <v>-0.0775183563263089</v>
      </c>
      <c r="E28" s="4" t="s">
        <v>231</v>
      </c>
    </row>
    <row r="29" customFormat="false" ht="15" hidden="false" customHeight="false" outlineLevel="0" collapsed="false">
      <c r="A29" s="4" t="s">
        <v>232</v>
      </c>
    </row>
    <row r="31" customFormat="false" ht="15" hidden="false" customHeight="false" outlineLevel="0" collapsed="false">
      <c r="A31" s="4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22"/>
    <col collapsed="false" customWidth="true" hidden="false" outlineLevel="0" max="7" min="7" style="0" width="36"/>
  </cols>
  <sheetData>
    <row r="1" customFormat="false" ht="15" hidden="false" customHeight="false" outlineLevel="0" collapsed="false">
      <c r="A1" s="1" t="s">
        <v>234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235</v>
      </c>
      <c r="B4" s="3" t="s">
        <v>236</v>
      </c>
      <c r="C4" s="3" t="s">
        <v>237</v>
      </c>
      <c r="D4" s="3" t="s">
        <v>238</v>
      </c>
      <c r="E4" s="3" t="s">
        <v>239</v>
      </c>
      <c r="F4" s="3" t="s">
        <v>240</v>
      </c>
      <c r="G4" s="3" t="s">
        <v>241</v>
      </c>
    </row>
    <row r="5" customFormat="false" ht="15" hidden="false" customHeight="false" outlineLevel="0" collapsed="false">
      <c r="A5" s="4" t="s">
        <v>242</v>
      </c>
      <c r="B5" s="4" t="s">
        <v>243</v>
      </c>
      <c r="C5" s="5" t="n">
        <v>1491967</v>
      </c>
      <c r="D5" s="4" t="s">
        <v>244</v>
      </c>
      <c r="E5" s="4" t="s">
        <v>245</v>
      </c>
      <c r="F5" s="4" t="s">
        <v>246</v>
      </c>
      <c r="G5" s="4" t="s">
        <v>247</v>
      </c>
    </row>
    <row r="6" customFormat="false" ht="15" hidden="false" customHeight="false" outlineLevel="0" collapsed="false">
      <c r="A6" s="4" t="s">
        <v>248</v>
      </c>
      <c r="B6" s="4" t="s">
        <v>249</v>
      </c>
      <c r="C6" s="5" t="n">
        <v>66575</v>
      </c>
      <c r="D6" s="4" t="s">
        <v>244</v>
      </c>
      <c r="E6" s="4" t="s">
        <v>245</v>
      </c>
      <c r="F6" s="4" t="s">
        <v>246</v>
      </c>
      <c r="G6" s="4" t="s">
        <v>250</v>
      </c>
    </row>
    <row r="7" customFormat="false" ht="15" hidden="false" customHeight="false" outlineLevel="0" collapsed="false">
      <c r="A7" s="4" t="s">
        <v>251</v>
      </c>
      <c r="B7" s="4" t="s">
        <v>252</v>
      </c>
      <c r="C7" s="5" t="n">
        <v>608777</v>
      </c>
      <c r="D7" s="4" t="s">
        <v>244</v>
      </c>
      <c r="E7" s="4" t="s">
        <v>245</v>
      </c>
      <c r="F7" s="4" t="s">
        <v>246</v>
      </c>
      <c r="G7" s="4" t="s">
        <v>253</v>
      </c>
    </row>
    <row r="8" customFormat="false" ht="15" hidden="false" customHeight="false" outlineLevel="0" collapsed="false">
      <c r="A8" s="4" t="s">
        <v>254</v>
      </c>
      <c r="B8" s="4" t="s">
        <v>255</v>
      </c>
      <c r="C8" s="5" t="n">
        <v>1097208</v>
      </c>
      <c r="D8" s="4" t="s">
        <v>244</v>
      </c>
      <c r="E8" s="4" t="s">
        <v>245</v>
      </c>
      <c r="F8" s="4" t="s">
        <v>246</v>
      </c>
      <c r="G8" s="4" t="s">
        <v>256</v>
      </c>
    </row>
    <row r="9" customFormat="false" ht="15" hidden="false" customHeight="false" outlineLevel="0" collapsed="false">
      <c r="A9" s="4" t="s">
        <v>257</v>
      </c>
      <c r="B9" s="4" t="s">
        <v>258</v>
      </c>
      <c r="C9" s="5" t="n">
        <v>1727447</v>
      </c>
      <c r="D9" s="4" t="s">
        <v>259</v>
      </c>
      <c r="E9" s="4" t="s">
        <v>245</v>
      </c>
      <c r="F9" s="4" t="s">
        <v>246</v>
      </c>
      <c r="G9" s="4" t="s">
        <v>260</v>
      </c>
    </row>
    <row r="10" customFormat="false" ht="15" hidden="false" customHeight="false" outlineLevel="0" collapsed="false">
      <c r="A10" s="4" t="s">
        <v>261</v>
      </c>
      <c r="B10" s="4" t="s">
        <v>262</v>
      </c>
      <c r="C10" s="5" t="n">
        <v>46822</v>
      </c>
      <c r="D10" s="4" t="s">
        <v>263</v>
      </c>
      <c r="E10" s="4" t="s">
        <v>245</v>
      </c>
      <c r="F10" s="4" t="s">
        <v>246</v>
      </c>
      <c r="G10" s="4" t="s">
        <v>264</v>
      </c>
    </row>
    <row r="11" customFormat="false" ht="15" hidden="false" customHeight="false" outlineLevel="0" collapsed="false">
      <c r="A11" s="4" t="s">
        <v>265</v>
      </c>
      <c r="B11" s="4" t="s">
        <v>266</v>
      </c>
      <c r="C11" s="5" t="n">
        <v>77302</v>
      </c>
      <c r="D11" s="4" t="s">
        <v>267</v>
      </c>
      <c r="E11" s="4" t="s">
        <v>245</v>
      </c>
      <c r="F11" s="4" t="s">
        <v>246</v>
      </c>
      <c r="G11" s="4" t="s">
        <v>268</v>
      </c>
    </row>
    <row r="12" customFormat="false" ht="15" hidden="false" customHeight="false" outlineLevel="0" collapsed="false">
      <c r="A12" s="4" t="s">
        <v>269</v>
      </c>
      <c r="B12" s="4" t="s">
        <v>270</v>
      </c>
      <c r="C12" s="5" t="n">
        <v>64448</v>
      </c>
      <c r="D12" s="4" t="s">
        <v>267</v>
      </c>
      <c r="E12" s="4" t="s">
        <v>245</v>
      </c>
      <c r="F12" s="4" t="s">
        <v>246</v>
      </c>
      <c r="G12" s="4" t="s">
        <v>271</v>
      </c>
    </row>
    <row r="14" customFormat="false" ht="15" hidden="false" customHeight="false" outlineLevel="0" collapsed="false">
      <c r="A14" s="4" t="s">
        <v>272</v>
      </c>
      <c r="C14" s="7" t="n">
        <f aca="false">SUM(C5:C12)</f>
        <v>5180546</v>
      </c>
    </row>
    <row r="15" customFormat="false" ht="15" hidden="false" customHeight="false" outlineLevel="0" collapsed="false">
      <c r="A15" s="4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2026-10-25T08:29:23Z</dcterms:created>
  <dc:creator>openpyxl</dc:creator>
  <dc:description/>
  <dc:language>en-US</dc:language>
  <cp:lastModifiedBy/>
  <dcterms:modified xsi:type="dcterms:W3CDTF">2026-10-25T08:29:23Z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